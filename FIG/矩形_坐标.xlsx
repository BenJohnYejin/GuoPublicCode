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14335\Desktop\"/>
    </mc:Choice>
  </mc:AlternateContent>
  <xr:revisionPtr revIDLastSave="0" documentId="13_ncr:1_{720A9C03-12B7-4344-AAA3-0E8A14ACBA72}" xr6:coauthVersionLast="46" xr6:coauthVersionMax="46" xr10:uidLastSave="{00000000-0000-0000-0000-000000000000}"/>
  <bookViews>
    <workbookView xWindow="28680" yWindow="-120" windowWidth="29040" windowHeight="15840" activeTab="3" xr2:uid="{00000000-000D-0000-FFFF-FFFF00000000}"/>
  </bookViews>
  <sheets>
    <sheet name="矩形-手持" sheetId="1" r:id="rId1"/>
    <sheet name="矩形-打电话" sheetId="2" r:id="rId2"/>
    <sheet name="矩形-口袋" sheetId="3" r:id="rId3"/>
    <sheet name="矩形-摆臂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43" i="4" l="1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42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91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3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42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85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4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3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X192" i="3"/>
  <c r="X193" i="3"/>
  <c r="X194" i="3"/>
  <c r="X195" i="3"/>
  <c r="X196" i="3"/>
  <c r="X197" i="3"/>
  <c r="X198" i="3"/>
  <c r="X199" i="3"/>
  <c r="X200" i="3"/>
  <c r="X201" i="3"/>
  <c r="W192" i="3"/>
  <c r="W193" i="3"/>
  <c r="W194" i="3"/>
  <c r="W195" i="3"/>
  <c r="W196" i="3"/>
  <c r="W197" i="3"/>
  <c r="W198" i="3"/>
  <c r="W199" i="3"/>
  <c r="W200" i="3"/>
  <c r="W201" i="3"/>
  <c r="V196" i="3"/>
  <c r="V197" i="3"/>
  <c r="V198" i="3"/>
  <c r="V199" i="3"/>
  <c r="V200" i="3"/>
  <c r="V201" i="3"/>
  <c r="V202" i="3"/>
  <c r="V194" i="3"/>
  <c r="W56" i="3"/>
  <c r="W54" i="3"/>
  <c r="W51" i="3"/>
  <c r="W49" i="3"/>
  <c r="W47" i="3"/>
  <c r="W43" i="3"/>
  <c r="W41" i="3"/>
  <c r="W37" i="3"/>
  <c r="W38" i="3"/>
  <c r="W39" i="3"/>
  <c r="W35" i="3"/>
  <c r="W36" i="3"/>
  <c r="W33" i="3"/>
  <c r="W31" i="3"/>
  <c r="W30" i="3"/>
  <c r="W29" i="3"/>
  <c r="W27" i="3"/>
  <c r="W25" i="3"/>
  <c r="W23" i="3"/>
  <c r="W21" i="3"/>
  <c r="W17" i="3"/>
  <c r="W12" i="3"/>
  <c r="W13" i="3"/>
  <c r="W14" i="3"/>
  <c r="W15" i="3"/>
  <c r="W11" i="3"/>
  <c r="W9" i="3"/>
  <c r="W7" i="3"/>
  <c r="X239" i="3"/>
  <c r="X240" i="3"/>
  <c r="X241" i="3"/>
  <c r="X242" i="3"/>
  <c r="X243" i="3"/>
  <c r="X244" i="3"/>
  <c r="X245" i="3"/>
  <c r="X246" i="3"/>
  <c r="W239" i="3"/>
  <c r="W240" i="3"/>
  <c r="W241" i="3"/>
  <c r="W242" i="3"/>
  <c r="W243" i="3"/>
  <c r="W244" i="3"/>
  <c r="W245" i="3"/>
  <c r="W246" i="3"/>
  <c r="V239" i="3"/>
  <c r="V240" i="3"/>
  <c r="V241" i="3"/>
  <c r="V242" i="3"/>
  <c r="V243" i="3"/>
  <c r="V244" i="3"/>
  <c r="V245" i="3"/>
  <c r="V246" i="3"/>
  <c r="U239" i="3"/>
  <c r="U240" i="3"/>
  <c r="U241" i="3"/>
  <c r="U242" i="3"/>
  <c r="U243" i="3"/>
  <c r="U244" i="3"/>
  <c r="U245" i="3"/>
  <c r="U246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W238" i="3"/>
  <c r="V238" i="3"/>
  <c r="W237" i="3"/>
  <c r="V237" i="3"/>
  <c r="W236" i="3"/>
  <c r="V236" i="3"/>
  <c r="W235" i="3"/>
  <c r="V235" i="3"/>
  <c r="W234" i="3"/>
  <c r="X216" i="3"/>
  <c r="V216" i="3"/>
  <c r="X215" i="3"/>
  <c r="W215" i="3"/>
  <c r="V215" i="3"/>
  <c r="X214" i="3"/>
  <c r="W214" i="3"/>
  <c r="V214" i="3"/>
  <c r="X213" i="3"/>
  <c r="W213" i="3"/>
  <c r="V213" i="3"/>
  <c r="X212" i="3"/>
  <c r="W212" i="3"/>
  <c r="V212" i="3"/>
  <c r="X211" i="3"/>
  <c r="W211" i="3"/>
  <c r="V211" i="3"/>
  <c r="X210" i="3"/>
  <c r="W210" i="3"/>
  <c r="V210" i="3"/>
  <c r="X209" i="3"/>
  <c r="W209" i="3"/>
  <c r="V209" i="3"/>
  <c r="X208" i="3"/>
  <c r="W208" i="3"/>
  <c r="V208" i="3"/>
  <c r="X207" i="3"/>
  <c r="W207" i="3"/>
  <c r="V207" i="3"/>
  <c r="X206" i="3"/>
  <c r="W206" i="3"/>
  <c r="V206" i="3"/>
  <c r="X205" i="3"/>
  <c r="W205" i="3"/>
  <c r="V205" i="3"/>
  <c r="X204" i="3"/>
  <c r="W204" i="3"/>
  <c r="V204" i="3"/>
  <c r="X203" i="3"/>
  <c r="W203" i="3"/>
  <c r="V203" i="3"/>
  <c r="X202" i="3"/>
  <c r="W202" i="3"/>
  <c r="V195" i="3"/>
  <c r="V193" i="3"/>
  <c r="V192" i="3"/>
  <c r="X191" i="3"/>
  <c r="W191" i="3"/>
  <c r="V191" i="3"/>
  <c r="X190" i="3"/>
  <c r="W190" i="3"/>
  <c r="V190" i="3"/>
  <c r="X189" i="3"/>
  <c r="W189" i="3"/>
  <c r="V189" i="3"/>
  <c r="X188" i="3"/>
  <c r="W188" i="3"/>
  <c r="V188" i="3"/>
  <c r="X187" i="3"/>
  <c r="W187" i="3"/>
  <c r="V187" i="3"/>
  <c r="X186" i="3"/>
  <c r="W186" i="3"/>
  <c r="V186" i="3"/>
  <c r="X185" i="3"/>
  <c r="W185" i="3"/>
  <c r="V185" i="3"/>
  <c r="X184" i="3"/>
  <c r="W184" i="3"/>
  <c r="V184" i="3"/>
  <c r="X183" i="3"/>
  <c r="W183" i="3"/>
  <c r="V183" i="3"/>
  <c r="X182" i="3"/>
  <c r="W182" i="3"/>
  <c r="V182" i="3"/>
  <c r="X181" i="3"/>
  <c r="W181" i="3"/>
  <c r="V181" i="3"/>
  <c r="X180" i="3"/>
  <c r="W180" i="3"/>
  <c r="V180" i="3"/>
  <c r="X179" i="3"/>
  <c r="W179" i="3"/>
  <c r="V179" i="3"/>
  <c r="X178" i="3"/>
  <c r="W178" i="3"/>
  <c r="V178" i="3"/>
  <c r="X177" i="3"/>
  <c r="W177" i="3"/>
  <c r="V177" i="3"/>
  <c r="X176" i="3"/>
  <c r="W176" i="3"/>
  <c r="V176" i="3"/>
  <c r="X175" i="3"/>
  <c r="W175" i="3"/>
  <c r="V175" i="3"/>
  <c r="X174" i="3"/>
  <c r="W174" i="3"/>
  <c r="V174" i="3"/>
  <c r="X173" i="3"/>
  <c r="W173" i="3"/>
  <c r="V173" i="3"/>
  <c r="X172" i="3"/>
  <c r="W172" i="3"/>
  <c r="V172" i="3"/>
  <c r="X171" i="3"/>
  <c r="W171" i="3"/>
  <c r="V171" i="3"/>
  <c r="X170" i="3"/>
  <c r="W170" i="3"/>
  <c r="V170" i="3"/>
  <c r="X169" i="3"/>
  <c r="W169" i="3"/>
  <c r="V169" i="3"/>
  <c r="X168" i="3"/>
  <c r="W168" i="3"/>
  <c r="V168" i="3"/>
  <c r="X167" i="3"/>
  <c r="W167" i="3"/>
  <c r="V167" i="3"/>
  <c r="X166" i="3"/>
  <c r="W166" i="3"/>
  <c r="V166" i="3"/>
  <c r="X165" i="3"/>
  <c r="W165" i="3"/>
  <c r="V165" i="3"/>
  <c r="X164" i="3"/>
  <c r="W164" i="3"/>
  <c r="V164" i="3"/>
  <c r="X163" i="3"/>
  <c r="W163" i="3"/>
  <c r="V163" i="3"/>
  <c r="X162" i="3"/>
  <c r="W162" i="3"/>
  <c r="V162" i="3"/>
  <c r="X161" i="3"/>
  <c r="W161" i="3"/>
  <c r="V161" i="3"/>
  <c r="X160" i="3"/>
  <c r="W160" i="3"/>
  <c r="V160" i="3"/>
  <c r="X159" i="3"/>
  <c r="W159" i="3"/>
  <c r="V159" i="3"/>
  <c r="X158" i="3"/>
  <c r="W158" i="3"/>
  <c r="V158" i="3"/>
  <c r="X157" i="3"/>
  <c r="W157" i="3"/>
  <c r="V157" i="3"/>
  <c r="X156" i="3"/>
  <c r="W156" i="3"/>
  <c r="V156" i="3"/>
  <c r="X155" i="3"/>
  <c r="W155" i="3"/>
  <c r="V155" i="3"/>
  <c r="X154" i="3"/>
  <c r="W154" i="3"/>
  <c r="V154" i="3"/>
  <c r="X153" i="3"/>
  <c r="W153" i="3"/>
  <c r="V153" i="3"/>
  <c r="X152" i="3"/>
  <c r="W152" i="3"/>
  <c r="V152" i="3"/>
  <c r="X151" i="3"/>
  <c r="W151" i="3"/>
  <c r="V151" i="3"/>
  <c r="X150" i="3"/>
  <c r="W150" i="3"/>
  <c r="V150" i="3"/>
  <c r="X149" i="3"/>
  <c r="W149" i="3"/>
  <c r="V149" i="3"/>
  <c r="X148" i="3"/>
  <c r="W148" i="3"/>
  <c r="V148" i="3"/>
  <c r="X147" i="3"/>
  <c r="W147" i="3"/>
  <c r="V147" i="3"/>
  <c r="X146" i="3"/>
  <c r="W146" i="3"/>
  <c r="V146" i="3"/>
  <c r="X145" i="3"/>
  <c r="W145" i="3"/>
  <c r="V145" i="3"/>
  <c r="X144" i="3"/>
  <c r="W144" i="3"/>
  <c r="V144" i="3"/>
  <c r="X143" i="3"/>
  <c r="W143" i="3"/>
  <c r="V143" i="3"/>
  <c r="X142" i="3"/>
  <c r="W142" i="3"/>
  <c r="V142" i="3"/>
  <c r="X141" i="3"/>
  <c r="W141" i="3"/>
  <c r="V141" i="3"/>
  <c r="X140" i="3"/>
  <c r="W140" i="3"/>
  <c r="V140" i="3"/>
  <c r="X139" i="3"/>
  <c r="W139" i="3"/>
  <c r="V139" i="3"/>
  <c r="X138" i="3"/>
  <c r="W138" i="3"/>
  <c r="V138" i="3"/>
  <c r="X137" i="3"/>
  <c r="W137" i="3"/>
  <c r="V137" i="3"/>
  <c r="X136" i="3"/>
  <c r="W136" i="3"/>
  <c r="V136" i="3"/>
  <c r="X135" i="3"/>
  <c r="W135" i="3"/>
  <c r="V135" i="3"/>
  <c r="X134" i="3"/>
  <c r="W134" i="3"/>
  <c r="V134" i="3"/>
  <c r="X133" i="3"/>
  <c r="W133" i="3"/>
  <c r="V133" i="3"/>
  <c r="X132" i="3"/>
  <c r="W132" i="3"/>
  <c r="V132" i="3"/>
  <c r="X131" i="3"/>
  <c r="W131" i="3"/>
  <c r="V131" i="3"/>
  <c r="X130" i="3"/>
  <c r="W130" i="3"/>
  <c r="V130" i="3"/>
  <c r="X129" i="3"/>
  <c r="W129" i="3"/>
  <c r="V129" i="3"/>
  <c r="X128" i="3"/>
  <c r="W128" i="3"/>
  <c r="V128" i="3"/>
  <c r="X127" i="3"/>
  <c r="W127" i="3"/>
  <c r="V127" i="3"/>
  <c r="X126" i="3"/>
  <c r="W126" i="3"/>
  <c r="V126" i="3"/>
  <c r="X125" i="3"/>
  <c r="W125" i="3"/>
  <c r="V125" i="3"/>
  <c r="X124" i="3"/>
  <c r="W124" i="3"/>
  <c r="V124" i="3"/>
  <c r="X123" i="3"/>
  <c r="W123" i="3"/>
  <c r="V123" i="3"/>
  <c r="X122" i="3"/>
  <c r="W122" i="3"/>
  <c r="V122" i="3"/>
  <c r="X121" i="3"/>
  <c r="W121" i="3"/>
  <c r="V121" i="3"/>
  <c r="X120" i="3"/>
  <c r="W120" i="3"/>
  <c r="V120" i="3"/>
  <c r="X119" i="3"/>
  <c r="W119" i="3"/>
  <c r="V119" i="3"/>
  <c r="X118" i="3"/>
  <c r="W118" i="3"/>
  <c r="V118" i="3"/>
  <c r="X117" i="3"/>
  <c r="W117" i="3"/>
  <c r="V117" i="3"/>
  <c r="X116" i="3"/>
  <c r="W116" i="3"/>
  <c r="V116" i="3"/>
  <c r="X115" i="3"/>
  <c r="W115" i="3"/>
  <c r="V115" i="3"/>
  <c r="X114" i="3"/>
  <c r="W114" i="3"/>
  <c r="V114" i="3"/>
  <c r="X113" i="3"/>
  <c r="W113" i="3"/>
  <c r="V113" i="3"/>
  <c r="X112" i="3"/>
  <c r="W112" i="3"/>
  <c r="V112" i="3"/>
  <c r="X111" i="3"/>
  <c r="W111" i="3"/>
  <c r="V111" i="3"/>
  <c r="X110" i="3"/>
  <c r="W110" i="3"/>
  <c r="V110" i="3"/>
  <c r="X109" i="3"/>
  <c r="W109" i="3"/>
  <c r="V109" i="3"/>
  <c r="X108" i="3"/>
  <c r="W108" i="3"/>
  <c r="V108" i="3"/>
  <c r="X107" i="3"/>
  <c r="W107" i="3"/>
  <c r="V107" i="3"/>
  <c r="X106" i="3"/>
  <c r="W106" i="3"/>
  <c r="V106" i="3"/>
  <c r="X105" i="3"/>
  <c r="W105" i="3"/>
  <c r="V105" i="3"/>
  <c r="X104" i="3"/>
  <c r="W104" i="3"/>
  <c r="V104" i="3"/>
  <c r="X103" i="3"/>
  <c r="W103" i="3"/>
  <c r="V103" i="3"/>
  <c r="X102" i="3"/>
  <c r="W102" i="3"/>
  <c r="V102" i="3"/>
  <c r="X101" i="3"/>
  <c r="W101" i="3"/>
  <c r="V101" i="3"/>
  <c r="X100" i="3"/>
  <c r="W100" i="3"/>
  <c r="V100" i="3"/>
  <c r="X99" i="3"/>
  <c r="W99" i="3"/>
  <c r="V99" i="3"/>
  <c r="X98" i="3"/>
  <c r="W98" i="3"/>
  <c r="V98" i="3"/>
  <c r="X97" i="3"/>
  <c r="W97" i="3"/>
  <c r="V97" i="3"/>
  <c r="X96" i="3"/>
  <c r="W96" i="3"/>
  <c r="V96" i="3"/>
  <c r="X95" i="3"/>
  <c r="W95" i="3"/>
  <c r="V95" i="3"/>
  <c r="X94" i="3"/>
  <c r="W94" i="3"/>
  <c r="V94" i="3"/>
  <c r="X93" i="3"/>
  <c r="W93" i="3"/>
  <c r="V93" i="3"/>
  <c r="X92" i="3"/>
  <c r="W92" i="3"/>
  <c r="V92" i="3"/>
  <c r="X91" i="3"/>
  <c r="W91" i="3"/>
  <c r="V91" i="3"/>
  <c r="X90" i="3"/>
  <c r="W90" i="3"/>
  <c r="V90" i="3"/>
  <c r="X89" i="3"/>
  <c r="W89" i="3"/>
  <c r="V89" i="3"/>
  <c r="X88" i="3"/>
  <c r="W88" i="3"/>
  <c r="V88" i="3"/>
  <c r="X87" i="3"/>
  <c r="W87" i="3"/>
  <c r="V87" i="3"/>
  <c r="X86" i="3"/>
  <c r="W86" i="3"/>
  <c r="V86" i="3"/>
  <c r="X85" i="3"/>
  <c r="W85" i="3"/>
  <c r="V85" i="3"/>
  <c r="X84" i="3"/>
  <c r="W84" i="3"/>
  <c r="V84" i="3"/>
  <c r="X83" i="3"/>
  <c r="W83" i="3"/>
  <c r="V83" i="3"/>
  <c r="X82" i="3"/>
  <c r="W82" i="3"/>
  <c r="V82" i="3"/>
  <c r="X81" i="3"/>
  <c r="W81" i="3"/>
  <c r="V81" i="3"/>
  <c r="X80" i="3"/>
  <c r="W80" i="3"/>
  <c r="V80" i="3"/>
  <c r="X79" i="3"/>
  <c r="W79" i="3"/>
  <c r="V79" i="3"/>
  <c r="X78" i="3"/>
  <c r="W78" i="3"/>
  <c r="V78" i="3"/>
  <c r="X77" i="3"/>
  <c r="W77" i="3"/>
  <c r="V77" i="3"/>
  <c r="X76" i="3"/>
  <c r="W76" i="3"/>
  <c r="V76" i="3"/>
  <c r="X75" i="3"/>
  <c r="W75" i="3"/>
  <c r="V75" i="3"/>
  <c r="X74" i="3"/>
  <c r="W74" i="3"/>
  <c r="V74" i="3"/>
  <c r="X73" i="3"/>
  <c r="W73" i="3"/>
  <c r="V73" i="3"/>
  <c r="X72" i="3"/>
  <c r="W72" i="3"/>
  <c r="V72" i="3"/>
  <c r="X71" i="3"/>
  <c r="W71" i="3"/>
  <c r="V71" i="3"/>
  <c r="X70" i="3"/>
  <c r="W70" i="3"/>
  <c r="V70" i="3"/>
  <c r="X69" i="3"/>
  <c r="W69" i="3"/>
  <c r="V69" i="3"/>
  <c r="X68" i="3"/>
  <c r="W68" i="3"/>
  <c r="V68" i="3"/>
  <c r="X67" i="3"/>
  <c r="W67" i="3"/>
  <c r="V67" i="3"/>
  <c r="X66" i="3"/>
  <c r="W66" i="3"/>
  <c r="V66" i="3"/>
  <c r="X65" i="3"/>
  <c r="W65" i="3"/>
  <c r="V65" i="3"/>
  <c r="X64" i="3"/>
  <c r="W64" i="3"/>
  <c r="V64" i="3"/>
  <c r="X63" i="3"/>
  <c r="W63" i="3"/>
  <c r="V63" i="3"/>
  <c r="X62" i="3"/>
  <c r="W62" i="3"/>
  <c r="V62" i="3"/>
  <c r="X61" i="3"/>
  <c r="W61" i="3"/>
  <c r="V61" i="3"/>
  <c r="X60" i="3"/>
  <c r="W60" i="3"/>
  <c r="V60" i="3"/>
  <c r="X59" i="3"/>
  <c r="W59" i="3"/>
  <c r="V59" i="3"/>
  <c r="X58" i="3"/>
  <c r="W58" i="3"/>
  <c r="V58" i="3"/>
  <c r="X57" i="3"/>
  <c r="W57" i="3"/>
  <c r="V57" i="3"/>
  <c r="X56" i="3"/>
  <c r="V56" i="3"/>
  <c r="X55" i="3"/>
  <c r="W55" i="3"/>
  <c r="V55" i="3"/>
  <c r="X54" i="3"/>
  <c r="V54" i="3"/>
  <c r="X53" i="3"/>
  <c r="W53" i="3"/>
  <c r="V53" i="3"/>
  <c r="X52" i="3"/>
  <c r="W52" i="3"/>
  <c r="V52" i="3"/>
  <c r="X51" i="3"/>
  <c r="V51" i="3"/>
  <c r="X50" i="3"/>
  <c r="W50" i="3"/>
  <c r="V50" i="3"/>
  <c r="X49" i="3"/>
  <c r="V49" i="3"/>
  <c r="X48" i="3"/>
  <c r="W48" i="3"/>
  <c r="V48" i="3"/>
  <c r="X47" i="3"/>
  <c r="V47" i="3"/>
  <c r="X46" i="3"/>
  <c r="W46" i="3"/>
  <c r="V46" i="3"/>
  <c r="X45" i="3"/>
  <c r="W45" i="3"/>
  <c r="V45" i="3"/>
  <c r="X44" i="3"/>
  <c r="W44" i="3"/>
  <c r="V44" i="3"/>
  <c r="X43" i="3"/>
  <c r="V43" i="3"/>
  <c r="X42" i="3"/>
  <c r="W42" i="3"/>
  <c r="V42" i="3"/>
  <c r="X41" i="3"/>
  <c r="V41" i="3"/>
  <c r="X40" i="3"/>
  <c r="W40" i="3"/>
  <c r="V40" i="3"/>
  <c r="X39" i="3"/>
  <c r="V39" i="3"/>
  <c r="X38" i="3"/>
  <c r="V38" i="3"/>
  <c r="X37" i="3"/>
  <c r="V37" i="3"/>
  <c r="X36" i="3"/>
  <c r="V36" i="3"/>
  <c r="X35" i="3"/>
  <c r="V35" i="3"/>
  <c r="X34" i="3"/>
  <c r="W34" i="3"/>
  <c r="V34" i="3"/>
  <c r="X33" i="3"/>
  <c r="V33" i="3"/>
  <c r="X32" i="3"/>
  <c r="W32" i="3"/>
  <c r="V32" i="3"/>
  <c r="X31" i="3"/>
  <c r="V31" i="3"/>
  <c r="X30" i="3"/>
  <c r="V30" i="3"/>
  <c r="X29" i="3"/>
  <c r="V29" i="3"/>
  <c r="X28" i="3"/>
  <c r="W28" i="3"/>
  <c r="V28" i="3"/>
  <c r="X27" i="3"/>
  <c r="V27" i="3"/>
  <c r="X26" i="3"/>
  <c r="W26" i="3"/>
  <c r="V26" i="3"/>
  <c r="X25" i="3"/>
  <c r="V25" i="3"/>
  <c r="X24" i="3"/>
  <c r="W24" i="3"/>
  <c r="V24" i="3"/>
  <c r="X23" i="3"/>
  <c r="V23" i="3"/>
  <c r="X22" i="3"/>
  <c r="W22" i="3"/>
  <c r="V22" i="3"/>
  <c r="X21" i="3"/>
  <c r="V21" i="3"/>
  <c r="X20" i="3"/>
  <c r="W20" i="3"/>
  <c r="V20" i="3"/>
  <c r="X19" i="3"/>
  <c r="W19" i="3"/>
  <c r="V19" i="3"/>
  <c r="X18" i="3"/>
  <c r="W18" i="3"/>
  <c r="V18" i="3"/>
  <c r="X17" i="3"/>
  <c r="V17" i="3"/>
  <c r="X16" i="3"/>
  <c r="W16" i="3"/>
  <c r="V16" i="3"/>
  <c r="X15" i="3"/>
  <c r="V15" i="3"/>
  <c r="X14" i="3"/>
  <c r="V14" i="3"/>
  <c r="X13" i="3"/>
  <c r="V13" i="3"/>
  <c r="X12" i="3"/>
  <c r="V12" i="3"/>
  <c r="X11" i="3"/>
  <c r="V11" i="3"/>
  <c r="X10" i="3"/>
  <c r="W10" i="3"/>
  <c r="V10" i="3"/>
  <c r="X9" i="3"/>
  <c r="V9" i="3"/>
  <c r="X8" i="3"/>
  <c r="W8" i="3"/>
  <c r="V8" i="3"/>
  <c r="X7" i="3"/>
  <c r="V7" i="3"/>
  <c r="X6" i="3"/>
  <c r="W6" i="3"/>
  <c r="V6" i="3"/>
  <c r="X5" i="3"/>
  <c r="W5" i="3"/>
  <c r="V5" i="3"/>
  <c r="X4" i="3"/>
  <c r="W4" i="3"/>
  <c r="V4" i="3"/>
  <c r="X3" i="3"/>
  <c r="W3" i="3"/>
  <c r="V3" i="3"/>
  <c r="U3" i="3"/>
  <c r="X226" i="2"/>
  <c r="X227" i="2"/>
  <c r="V227" i="2"/>
  <c r="V228" i="2"/>
  <c r="W226" i="2"/>
  <c r="W227" i="2"/>
  <c r="V221" i="2"/>
  <c r="X220" i="2"/>
  <c r="W220" i="2"/>
  <c r="X195" i="2"/>
  <c r="X196" i="2"/>
  <c r="X197" i="2"/>
  <c r="X198" i="2"/>
  <c r="X199" i="2"/>
  <c r="X200" i="2"/>
  <c r="X201" i="2"/>
  <c r="W195" i="2"/>
  <c r="W196" i="2"/>
  <c r="W197" i="2"/>
  <c r="W198" i="2"/>
  <c r="W199" i="2"/>
  <c r="W200" i="2"/>
  <c r="W201" i="2"/>
  <c r="V194" i="2"/>
  <c r="V195" i="2"/>
  <c r="V196" i="2"/>
  <c r="V197" i="2"/>
  <c r="V198" i="2"/>
  <c r="V199" i="2"/>
  <c r="V200" i="2"/>
  <c r="V201" i="2"/>
  <c r="V202" i="2"/>
  <c r="X193" i="2"/>
  <c r="W193" i="2"/>
  <c r="V123" i="2"/>
  <c r="X123" i="2"/>
  <c r="W123" i="2"/>
  <c r="W122" i="2"/>
  <c r="W119" i="2"/>
  <c r="W114" i="2"/>
  <c r="W115" i="2"/>
  <c r="W113" i="2"/>
  <c r="W110" i="2"/>
  <c r="W111" i="2"/>
  <c r="W109" i="2"/>
  <c r="W107" i="2"/>
  <c r="W108" i="2"/>
  <c r="W112" i="2"/>
  <c r="W116" i="2"/>
  <c r="W117" i="2"/>
  <c r="W118" i="2"/>
  <c r="W120" i="2"/>
  <c r="W121" i="2"/>
  <c r="W106" i="2"/>
  <c r="W103" i="2"/>
  <c r="W104" i="2"/>
  <c r="W102" i="2"/>
  <c r="W98" i="2"/>
  <c r="W94" i="2"/>
  <c r="W86" i="2"/>
  <c r="W87" i="2"/>
  <c r="W88" i="2"/>
  <c r="W89" i="2"/>
  <c r="W90" i="2"/>
  <c r="W91" i="2"/>
  <c r="W92" i="2"/>
  <c r="W85" i="2"/>
  <c r="W81" i="2"/>
  <c r="W82" i="2"/>
  <c r="W80" i="2"/>
  <c r="W78" i="2"/>
  <c r="W76" i="2"/>
  <c r="W68" i="2"/>
  <c r="W69" i="2"/>
  <c r="W70" i="2"/>
  <c r="W71" i="2"/>
  <c r="W72" i="2"/>
  <c r="W73" i="2"/>
  <c r="W67" i="2"/>
  <c r="W59" i="2"/>
  <c r="W60" i="2"/>
  <c r="W61" i="2"/>
  <c r="W62" i="2"/>
  <c r="W63" i="2"/>
  <c r="W64" i="2"/>
  <c r="W65" i="2"/>
  <c r="W58" i="2"/>
  <c r="X230" i="2"/>
  <c r="W230" i="2"/>
  <c r="V230" i="2"/>
  <c r="U230" i="2"/>
  <c r="X229" i="2"/>
  <c r="W229" i="2"/>
  <c r="V229" i="2"/>
  <c r="U229" i="2"/>
  <c r="X228" i="2"/>
  <c r="W228" i="2"/>
  <c r="U228" i="2"/>
  <c r="U227" i="2"/>
  <c r="V226" i="2"/>
  <c r="U226" i="2"/>
  <c r="X225" i="2"/>
  <c r="W225" i="2"/>
  <c r="V225" i="2"/>
  <c r="U225" i="2"/>
  <c r="X224" i="2"/>
  <c r="W224" i="2"/>
  <c r="V224" i="2"/>
  <c r="U224" i="2"/>
  <c r="X223" i="2"/>
  <c r="W223" i="2"/>
  <c r="V223" i="2"/>
  <c r="U223" i="2"/>
  <c r="X222" i="2"/>
  <c r="W222" i="2"/>
  <c r="V222" i="2"/>
  <c r="U222" i="2"/>
  <c r="X221" i="2"/>
  <c r="W221" i="2"/>
  <c r="U221" i="2"/>
  <c r="V220" i="2"/>
  <c r="U220" i="2"/>
  <c r="X219" i="2"/>
  <c r="W219" i="2"/>
  <c r="V219" i="2"/>
  <c r="U219" i="2"/>
  <c r="X218" i="2"/>
  <c r="W218" i="2"/>
  <c r="V218" i="2"/>
  <c r="U218" i="2"/>
  <c r="X217" i="2"/>
  <c r="W217" i="2"/>
  <c r="V217" i="2"/>
  <c r="U217" i="2"/>
  <c r="X216" i="2"/>
  <c r="W216" i="2"/>
  <c r="V216" i="2"/>
  <c r="U216" i="2"/>
  <c r="X215" i="2"/>
  <c r="W215" i="2"/>
  <c r="V215" i="2"/>
  <c r="U215" i="2"/>
  <c r="X214" i="2"/>
  <c r="W214" i="2"/>
  <c r="V214" i="2"/>
  <c r="U214" i="2"/>
  <c r="X213" i="2"/>
  <c r="W213" i="2"/>
  <c r="V213" i="2"/>
  <c r="U213" i="2"/>
  <c r="X212" i="2"/>
  <c r="W212" i="2"/>
  <c r="V212" i="2"/>
  <c r="U212" i="2"/>
  <c r="X211" i="2"/>
  <c r="W211" i="2"/>
  <c r="V211" i="2"/>
  <c r="U211" i="2"/>
  <c r="X210" i="2"/>
  <c r="W210" i="2"/>
  <c r="V210" i="2"/>
  <c r="U210" i="2"/>
  <c r="X209" i="2"/>
  <c r="W209" i="2"/>
  <c r="V209" i="2"/>
  <c r="U209" i="2"/>
  <c r="X208" i="2"/>
  <c r="W208" i="2"/>
  <c r="V208" i="2"/>
  <c r="U208" i="2"/>
  <c r="X207" i="2"/>
  <c r="W207" i="2"/>
  <c r="V207" i="2"/>
  <c r="U207" i="2"/>
  <c r="X206" i="2"/>
  <c r="W206" i="2"/>
  <c r="V206" i="2"/>
  <c r="U206" i="2"/>
  <c r="X205" i="2"/>
  <c r="W205" i="2"/>
  <c r="V205" i="2"/>
  <c r="U205" i="2"/>
  <c r="X204" i="2"/>
  <c r="W204" i="2"/>
  <c r="V204" i="2"/>
  <c r="U204" i="2"/>
  <c r="X203" i="2"/>
  <c r="W203" i="2"/>
  <c r="V203" i="2"/>
  <c r="U203" i="2"/>
  <c r="X202" i="2"/>
  <c r="W202" i="2"/>
  <c r="U202" i="2"/>
  <c r="U201" i="2"/>
  <c r="U200" i="2"/>
  <c r="U199" i="2"/>
  <c r="U198" i="2"/>
  <c r="U197" i="2"/>
  <c r="U196" i="2"/>
  <c r="U195" i="2"/>
  <c r="X194" i="2"/>
  <c r="W194" i="2"/>
  <c r="U194" i="2"/>
  <c r="V193" i="2"/>
  <c r="U193" i="2"/>
  <c r="X192" i="2"/>
  <c r="W192" i="2"/>
  <c r="V192" i="2"/>
  <c r="U192" i="2"/>
  <c r="X191" i="2"/>
  <c r="W191" i="2"/>
  <c r="V191" i="2"/>
  <c r="U191" i="2"/>
  <c r="X190" i="2"/>
  <c r="W190" i="2"/>
  <c r="V190" i="2"/>
  <c r="U190" i="2"/>
  <c r="X189" i="2"/>
  <c r="W189" i="2"/>
  <c r="V189" i="2"/>
  <c r="U189" i="2"/>
  <c r="X188" i="2"/>
  <c r="W188" i="2"/>
  <c r="V188" i="2"/>
  <c r="U188" i="2"/>
  <c r="X187" i="2"/>
  <c r="W187" i="2"/>
  <c r="V187" i="2"/>
  <c r="U187" i="2"/>
  <c r="X186" i="2"/>
  <c r="W186" i="2"/>
  <c r="V186" i="2"/>
  <c r="U186" i="2"/>
  <c r="X185" i="2"/>
  <c r="W185" i="2"/>
  <c r="V185" i="2"/>
  <c r="U185" i="2"/>
  <c r="X184" i="2"/>
  <c r="W184" i="2"/>
  <c r="V184" i="2"/>
  <c r="U184" i="2"/>
  <c r="X183" i="2"/>
  <c r="W183" i="2"/>
  <c r="V183" i="2"/>
  <c r="U183" i="2"/>
  <c r="X182" i="2"/>
  <c r="W182" i="2"/>
  <c r="V182" i="2"/>
  <c r="U182" i="2"/>
  <c r="X181" i="2"/>
  <c r="W181" i="2"/>
  <c r="V181" i="2"/>
  <c r="U181" i="2"/>
  <c r="X180" i="2"/>
  <c r="W180" i="2"/>
  <c r="V180" i="2"/>
  <c r="U180" i="2"/>
  <c r="X179" i="2"/>
  <c r="W179" i="2"/>
  <c r="V179" i="2"/>
  <c r="U179" i="2"/>
  <c r="X178" i="2"/>
  <c r="W178" i="2"/>
  <c r="V178" i="2"/>
  <c r="U178" i="2"/>
  <c r="X177" i="2"/>
  <c r="W177" i="2"/>
  <c r="V177" i="2"/>
  <c r="U177" i="2"/>
  <c r="X176" i="2"/>
  <c r="W176" i="2"/>
  <c r="V176" i="2"/>
  <c r="U176" i="2"/>
  <c r="X175" i="2"/>
  <c r="W175" i="2"/>
  <c r="V175" i="2"/>
  <c r="U175" i="2"/>
  <c r="X174" i="2"/>
  <c r="W174" i="2"/>
  <c r="V174" i="2"/>
  <c r="U174" i="2"/>
  <c r="X173" i="2"/>
  <c r="W173" i="2"/>
  <c r="V173" i="2"/>
  <c r="U173" i="2"/>
  <c r="X172" i="2"/>
  <c r="W172" i="2"/>
  <c r="V172" i="2"/>
  <c r="U172" i="2"/>
  <c r="X171" i="2"/>
  <c r="W171" i="2"/>
  <c r="V171" i="2"/>
  <c r="U171" i="2"/>
  <c r="X170" i="2"/>
  <c r="W170" i="2"/>
  <c r="V170" i="2"/>
  <c r="U170" i="2"/>
  <c r="X169" i="2"/>
  <c r="W169" i="2"/>
  <c r="V169" i="2"/>
  <c r="U169" i="2"/>
  <c r="X168" i="2"/>
  <c r="W168" i="2"/>
  <c r="V168" i="2"/>
  <c r="U168" i="2"/>
  <c r="X167" i="2"/>
  <c r="W167" i="2"/>
  <c r="V167" i="2"/>
  <c r="U167" i="2"/>
  <c r="X166" i="2"/>
  <c r="W166" i="2"/>
  <c r="V166" i="2"/>
  <c r="U166" i="2"/>
  <c r="X165" i="2"/>
  <c r="W165" i="2"/>
  <c r="V165" i="2"/>
  <c r="U165" i="2"/>
  <c r="X164" i="2"/>
  <c r="W164" i="2"/>
  <c r="V164" i="2"/>
  <c r="U164" i="2"/>
  <c r="X163" i="2"/>
  <c r="W163" i="2"/>
  <c r="V163" i="2"/>
  <c r="U163" i="2"/>
  <c r="X162" i="2"/>
  <c r="W162" i="2"/>
  <c r="V162" i="2"/>
  <c r="U162" i="2"/>
  <c r="X161" i="2"/>
  <c r="W161" i="2"/>
  <c r="V161" i="2"/>
  <c r="U161" i="2"/>
  <c r="X160" i="2"/>
  <c r="W160" i="2"/>
  <c r="V160" i="2"/>
  <c r="U160" i="2"/>
  <c r="X159" i="2"/>
  <c r="W159" i="2"/>
  <c r="V159" i="2"/>
  <c r="U159" i="2"/>
  <c r="X158" i="2"/>
  <c r="W158" i="2"/>
  <c r="V158" i="2"/>
  <c r="U158" i="2"/>
  <c r="X157" i="2"/>
  <c r="W157" i="2"/>
  <c r="V157" i="2"/>
  <c r="U157" i="2"/>
  <c r="X156" i="2"/>
  <c r="W156" i="2"/>
  <c r="V156" i="2"/>
  <c r="U156" i="2"/>
  <c r="X155" i="2"/>
  <c r="W155" i="2"/>
  <c r="V155" i="2"/>
  <c r="U155" i="2"/>
  <c r="X154" i="2"/>
  <c r="W154" i="2"/>
  <c r="V154" i="2"/>
  <c r="U154" i="2"/>
  <c r="X153" i="2"/>
  <c r="W153" i="2"/>
  <c r="V153" i="2"/>
  <c r="U153" i="2"/>
  <c r="X152" i="2"/>
  <c r="W152" i="2"/>
  <c r="V152" i="2"/>
  <c r="U152" i="2"/>
  <c r="X151" i="2"/>
  <c r="W151" i="2"/>
  <c r="V151" i="2"/>
  <c r="U151" i="2"/>
  <c r="X150" i="2"/>
  <c r="W150" i="2"/>
  <c r="V150" i="2"/>
  <c r="U150" i="2"/>
  <c r="X149" i="2"/>
  <c r="W149" i="2"/>
  <c r="V149" i="2"/>
  <c r="U149" i="2"/>
  <c r="X148" i="2"/>
  <c r="W148" i="2"/>
  <c r="V148" i="2"/>
  <c r="U148" i="2"/>
  <c r="X147" i="2"/>
  <c r="W147" i="2"/>
  <c r="V147" i="2"/>
  <c r="U147" i="2"/>
  <c r="X146" i="2"/>
  <c r="W146" i="2"/>
  <c r="V146" i="2"/>
  <c r="U146" i="2"/>
  <c r="X145" i="2"/>
  <c r="W145" i="2"/>
  <c r="V145" i="2"/>
  <c r="U145" i="2"/>
  <c r="X144" i="2"/>
  <c r="W144" i="2"/>
  <c r="V144" i="2"/>
  <c r="U144" i="2"/>
  <c r="X143" i="2"/>
  <c r="W143" i="2"/>
  <c r="V143" i="2"/>
  <c r="U143" i="2"/>
  <c r="X142" i="2"/>
  <c r="W142" i="2"/>
  <c r="V142" i="2"/>
  <c r="U142" i="2"/>
  <c r="X141" i="2"/>
  <c r="W141" i="2"/>
  <c r="V141" i="2"/>
  <c r="U141" i="2"/>
  <c r="X140" i="2"/>
  <c r="W140" i="2"/>
  <c r="V140" i="2"/>
  <c r="U140" i="2"/>
  <c r="X139" i="2"/>
  <c r="W139" i="2"/>
  <c r="V139" i="2"/>
  <c r="U139" i="2"/>
  <c r="X138" i="2"/>
  <c r="W138" i="2"/>
  <c r="V138" i="2"/>
  <c r="U138" i="2"/>
  <c r="X137" i="2"/>
  <c r="W137" i="2"/>
  <c r="V137" i="2"/>
  <c r="U137" i="2"/>
  <c r="X136" i="2"/>
  <c r="W136" i="2"/>
  <c r="V136" i="2"/>
  <c r="U136" i="2"/>
  <c r="X135" i="2"/>
  <c r="W135" i="2"/>
  <c r="V135" i="2"/>
  <c r="U135" i="2"/>
  <c r="X134" i="2"/>
  <c r="W134" i="2"/>
  <c r="V134" i="2"/>
  <c r="U134" i="2"/>
  <c r="X133" i="2"/>
  <c r="W133" i="2"/>
  <c r="V133" i="2"/>
  <c r="U133" i="2"/>
  <c r="X132" i="2"/>
  <c r="W132" i="2"/>
  <c r="V132" i="2"/>
  <c r="U132" i="2"/>
  <c r="X131" i="2"/>
  <c r="W131" i="2"/>
  <c r="V131" i="2"/>
  <c r="U131" i="2"/>
  <c r="X130" i="2"/>
  <c r="W130" i="2"/>
  <c r="V130" i="2"/>
  <c r="U130" i="2"/>
  <c r="X129" i="2"/>
  <c r="W129" i="2"/>
  <c r="V129" i="2"/>
  <c r="U129" i="2"/>
  <c r="X128" i="2"/>
  <c r="W128" i="2"/>
  <c r="V128" i="2"/>
  <c r="U128" i="2"/>
  <c r="X127" i="2"/>
  <c r="W127" i="2"/>
  <c r="V127" i="2"/>
  <c r="U127" i="2"/>
  <c r="X126" i="2"/>
  <c r="W126" i="2"/>
  <c r="V126" i="2"/>
  <c r="U126" i="2"/>
  <c r="X125" i="2"/>
  <c r="W125" i="2"/>
  <c r="V125" i="2"/>
  <c r="U125" i="2"/>
  <c r="X124" i="2"/>
  <c r="W124" i="2"/>
  <c r="V124" i="2"/>
  <c r="U124" i="2"/>
  <c r="U123" i="2"/>
  <c r="X122" i="2"/>
  <c r="V122" i="2"/>
  <c r="U122" i="2"/>
  <c r="X121" i="2"/>
  <c r="V121" i="2"/>
  <c r="U121" i="2"/>
  <c r="X120" i="2"/>
  <c r="V120" i="2"/>
  <c r="U120" i="2"/>
  <c r="X119" i="2"/>
  <c r="V119" i="2"/>
  <c r="U119" i="2"/>
  <c r="X118" i="2"/>
  <c r="V118" i="2"/>
  <c r="U118" i="2"/>
  <c r="X117" i="2"/>
  <c r="V117" i="2"/>
  <c r="U117" i="2"/>
  <c r="X116" i="2"/>
  <c r="V116" i="2"/>
  <c r="U116" i="2"/>
  <c r="X115" i="2"/>
  <c r="V115" i="2"/>
  <c r="U115" i="2"/>
  <c r="X114" i="2"/>
  <c r="V114" i="2"/>
  <c r="U114" i="2"/>
  <c r="X113" i="2"/>
  <c r="V113" i="2"/>
  <c r="U113" i="2"/>
  <c r="X112" i="2"/>
  <c r="V112" i="2"/>
  <c r="U112" i="2"/>
  <c r="X111" i="2"/>
  <c r="V111" i="2"/>
  <c r="U111" i="2"/>
  <c r="X110" i="2"/>
  <c r="V110" i="2"/>
  <c r="U110" i="2"/>
  <c r="X109" i="2"/>
  <c r="V109" i="2"/>
  <c r="U109" i="2"/>
  <c r="X108" i="2"/>
  <c r="V108" i="2"/>
  <c r="U108" i="2"/>
  <c r="X107" i="2"/>
  <c r="V107" i="2"/>
  <c r="U107" i="2"/>
  <c r="X106" i="2"/>
  <c r="V106" i="2"/>
  <c r="U106" i="2"/>
  <c r="X105" i="2"/>
  <c r="W105" i="2"/>
  <c r="V105" i="2"/>
  <c r="U105" i="2"/>
  <c r="X104" i="2"/>
  <c r="V104" i="2"/>
  <c r="U104" i="2"/>
  <c r="X103" i="2"/>
  <c r="V103" i="2"/>
  <c r="U103" i="2"/>
  <c r="X102" i="2"/>
  <c r="V102" i="2"/>
  <c r="U102" i="2"/>
  <c r="X101" i="2"/>
  <c r="W101" i="2"/>
  <c r="V101" i="2"/>
  <c r="U101" i="2"/>
  <c r="X100" i="2"/>
  <c r="W100" i="2"/>
  <c r="V100" i="2"/>
  <c r="U100" i="2"/>
  <c r="X99" i="2"/>
  <c r="W99" i="2"/>
  <c r="V99" i="2"/>
  <c r="U99" i="2"/>
  <c r="X98" i="2"/>
  <c r="V98" i="2"/>
  <c r="U98" i="2"/>
  <c r="X97" i="2"/>
  <c r="W97" i="2"/>
  <c r="V97" i="2"/>
  <c r="U97" i="2"/>
  <c r="X96" i="2"/>
  <c r="W96" i="2"/>
  <c r="V96" i="2"/>
  <c r="U96" i="2"/>
  <c r="X95" i="2"/>
  <c r="W95" i="2"/>
  <c r="V95" i="2"/>
  <c r="U95" i="2"/>
  <c r="X94" i="2"/>
  <c r="V94" i="2"/>
  <c r="U94" i="2"/>
  <c r="X93" i="2"/>
  <c r="W93" i="2"/>
  <c r="V93" i="2"/>
  <c r="U93" i="2"/>
  <c r="X92" i="2"/>
  <c r="V92" i="2"/>
  <c r="U92" i="2"/>
  <c r="X91" i="2"/>
  <c r="V91" i="2"/>
  <c r="U91" i="2"/>
  <c r="X90" i="2"/>
  <c r="V90" i="2"/>
  <c r="U90" i="2"/>
  <c r="X89" i="2"/>
  <c r="V89" i="2"/>
  <c r="U89" i="2"/>
  <c r="X88" i="2"/>
  <c r="V88" i="2"/>
  <c r="U88" i="2"/>
  <c r="X87" i="2"/>
  <c r="V87" i="2"/>
  <c r="U87" i="2"/>
  <c r="X86" i="2"/>
  <c r="V86" i="2"/>
  <c r="U86" i="2"/>
  <c r="X85" i="2"/>
  <c r="V85" i="2"/>
  <c r="U85" i="2"/>
  <c r="X84" i="2"/>
  <c r="W84" i="2"/>
  <c r="V84" i="2"/>
  <c r="U84" i="2"/>
  <c r="X83" i="2"/>
  <c r="W83" i="2"/>
  <c r="V83" i="2"/>
  <c r="U83" i="2"/>
  <c r="X82" i="2"/>
  <c r="V82" i="2"/>
  <c r="U82" i="2"/>
  <c r="X81" i="2"/>
  <c r="V81" i="2"/>
  <c r="U81" i="2"/>
  <c r="X80" i="2"/>
  <c r="V80" i="2"/>
  <c r="U80" i="2"/>
  <c r="X79" i="2"/>
  <c r="W79" i="2"/>
  <c r="V79" i="2"/>
  <c r="U79" i="2"/>
  <c r="X78" i="2"/>
  <c r="V78" i="2"/>
  <c r="U78" i="2"/>
  <c r="X77" i="2"/>
  <c r="W77" i="2"/>
  <c r="V77" i="2"/>
  <c r="U77" i="2"/>
  <c r="X76" i="2"/>
  <c r="V76" i="2"/>
  <c r="U76" i="2"/>
  <c r="X75" i="2"/>
  <c r="W75" i="2"/>
  <c r="V75" i="2"/>
  <c r="U75" i="2"/>
  <c r="X74" i="2"/>
  <c r="W74" i="2"/>
  <c r="V74" i="2"/>
  <c r="U74" i="2"/>
  <c r="X73" i="2"/>
  <c r="V73" i="2"/>
  <c r="U73" i="2"/>
  <c r="X72" i="2"/>
  <c r="V72" i="2"/>
  <c r="U72" i="2"/>
  <c r="X71" i="2"/>
  <c r="V71" i="2"/>
  <c r="U71" i="2"/>
  <c r="X70" i="2"/>
  <c r="V70" i="2"/>
  <c r="U70" i="2"/>
  <c r="X69" i="2"/>
  <c r="V69" i="2"/>
  <c r="U69" i="2"/>
  <c r="X68" i="2"/>
  <c r="V68" i="2"/>
  <c r="U68" i="2"/>
  <c r="X67" i="2"/>
  <c r="V67" i="2"/>
  <c r="U67" i="2"/>
  <c r="X66" i="2"/>
  <c r="W66" i="2"/>
  <c r="V66" i="2"/>
  <c r="U66" i="2"/>
  <c r="X65" i="2"/>
  <c r="V65" i="2"/>
  <c r="U65" i="2"/>
  <c r="X64" i="2"/>
  <c r="V64" i="2"/>
  <c r="U64" i="2"/>
  <c r="X63" i="2"/>
  <c r="V63" i="2"/>
  <c r="U63" i="2"/>
  <c r="X62" i="2"/>
  <c r="V62" i="2"/>
  <c r="U62" i="2"/>
  <c r="X61" i="2"/>
  <c r="V61" i="2"/>
  <c r="U61" i="2"/>
  <c r="X60" i="2"/>
  <c r="V60" i="2"/>
  <c r="U60" i="2"/>
  <c r="X59" i="2"/>
  <c r="V59" i="2"/>
  <c r="U59" i="2"/>
  <c r="X58" i="2"/>
  <c r="V58" i="2"/>
  <c r="U58" i="2"/>
  <c r="X57" i="2"/>
  <c r="W57" i="2"/>
  <c r="V57" i="2"/>
  <c r="U57" i="2"/>
  <c r="X56" i="2"/>
  <c r="W56" i="2"/>
  <c r="V56" i="2"/>
  <c r="U56" i="2"/>
  <c r="X55" i="2"/>
  <c r="W55" i="2"/>
  <c r="V55" i="2"/>
  <c r="U55" i="2"/>
  <c r="X54" i="2"/>
  <c r="W54" i="2"/>
  <c r="V54" i="2"/>
  <c r="U54" i="2"/>
  <c r="X53" i="2"/>
  <c r="W53" i="2"/>
  <c r="V53" i="2"/>
  <c r="U53" i="2"/>
  <c r="X52" i="2"/>
  <c r="W52" i="2"/>
  <c r="V52" i="2"/>
  <c r="U52" i="2"/>
  <c r="X51" i="2"/>
  <c r="W51" i="2"/>
  <c r="V51" i="2"/>
  <c r="U51" i="2"/>
  <c r="X50" i="2"/>
  <c r="W50" i="2"/>
  <c r="V50" i="2"/>
  <c r="U50" i="2"/>
  <c r="X49" i="2"/>
  <c r="W49" i="2"/>
  <c r="V49" i="2"/>
  <c r="U49" i="2"/>
  <c r="X48" i="2"/>
  <c r="W48" i="2"/>
  <c r="V48" i="2"/>
  <c r="U48" i="2"/>
  <c r="X47" i="2"/>
  <c r="W47" i="2"/>
  <c r="V47" i="2"/>
  <c r="U47" i="2"/>
  <c r="X46" i="2"/>
  <c r="W46" i="2"/>
  <c r="V46" i="2"/>
  <c r="U46" i="2"/>
  <c r="X45" i="2"/>
  <c r="W45" i="2"/>
  <c r="V45" i="2"/>
  <c r="U45" i="2"/>
  <c r="X44" i="2"/>
  <c r="W44" i="2"/>
  <c r="V44" i="2"/>
  <c r="U44" i="2"/>
  <c r="X43" i="2"/>
  <c r="W43" i="2"/>
  <c r="V43" i="2"/>
  <c r="U43" i="2"/>
  <c r="X42" i="2"/>
  <c r="W42" i="2"/>
  <c r="V42" i="2"/>
  <c r="U42" i="2"/>
  <c r="X41" i="2"/>
  <c r="W41" i="2"/>
  <c r="V41" i="2"/>
  <c r="U41" i="2"/>
  <c r="X40" i="2"/>
  <c r="W40" i="2"/>
  <c r="V40" i="2"/>
  <c r="U40" i="2"/>
  <c r="X39" i="2"/>
  <c r="W39" i="2"/>
  <c r="V39" i="2"/>
  <c r="U39" i="2"/>
  <c r="X38" i="2"/>
  <c r="W38" i="2"/>
  <c r="V38" i="2"/>
  <c r="U38" i="2"/>
  <c r="X37" i="2"/>
  <c r="W37" i="2"/>
  <c r="V37" i="2"/>
  <c r="U37" i="2"/>
  <c r="X36" i="2"/>
  <c r="W36" i="2"/>
  <c r="V36" i="2"/>
  <c r="U36" i="2"/>
  <c r="X35" i="2"/>
  <c r="W35" i="2"/>
  <c r="V35" i="2"/>
  <c r="U35" i="2"/>
  <c r="X34" i="2"/>
  <c r="W34" i="2"/>
  <c r="V34" i="2"/>
  <c r="U34" i="2"/>
  <c r="X33" i="2"/>
  <c r="W33" i="2"/>
  <c r="V33" i="2"/>
  <c r="U33" i="2"/>
  <c r="X32" i="2"/>
  <c r="W32" i="2"/>
  <c r="V32" i="2"/>
  <c r="U32" i="2"/>
  <c r="X31" i="2"/>
  <c r="W31" i="2"/>
  <c r="V31" i="2"/>
  <c r="U31" i="2"/>
  <c r="X30" i="2"/>
  <c r="W30" i="2"/>
  <c r="V30" i="2"/>
  <c r="U30" i="2"/>
  <c r="X29" i="2"/>
  <c r="W29" i="2"/>
  <c r="V29" i="2"/>
  <c r="U29" i="2"/>
  <c r="X28" i="2"/>
  <c r="W28" i="2"/>
  <c r="V28" i="2"/>
  <c r="U28" i="2"/>
  <c r="X27" i="2"/>
  <c r="W27" i="2"/>
  <c r="V27" i="2"/>
  <c r="U27" i="2"/>
  <c r="X26" i="2"/>
  <c r="W26" i="2"/>
  <c r="V26" i="2"/>
  <c r="U26" i="2"/>
  <c r="X25" i="2"/>
  <c r="W25" i="2"/>
  <c r="V25" i="2"/>
  <c r="U25" i="2"/>
  <c r="X24" i="2"/>
  <c r="W24" i="2"/>
  <c r="V24" i="2"/>
  <c r="U24" i="2"/>
  <c r="X23" i="2"/>
  <c r="W23" i="2"/>
  <c r="V23" i="2"/>
  <c r="U23" i="2"/>
  <c r="X22" i="2"/>
  <c r="W22" i="2"/>
  <c r="V22" i="2"/>
  <c r="U22" i="2"/>
  <c r="X21" i="2"/>
  <c r="W21" i="2"/>
  <c r="V21" i="2"/>
  <c r="U21" i="2"/>
  <c r="X20" i="2"/>
  <c r="W20" i="2"/>
  <c r="V20" i="2"/>
  <c r="U20" i="2"/>
  <c r="X19" i="2"/>
  <c r="W19" i="2"/>
  <c r="V19" i="2"/>
  <c r="U19" i="2"/>
  <c r="X18" i="2"/>
  <c r="W18" i="2"/>
  <c r="V18" i="2"/>
  <c r="U18" i="2"/>
  <c r="X17" i="2"/>
  <c r="W17" i="2"/>
  <c r="V17" i="2"/>
  <c r="U17" i="2"/>
  <c r="X16" i="2"/>
  <c r="W16" i="2"/>
  <c r="V16" i="2"/>
  <c r="U16" i="2"/>
  <c r="X15" i="2"/>
  <c r="W15" i="2"/>
  <c r="V15" i="2"/>
  <c r="U15" i="2"/>
  <c r="X14" i="2"/>
  <c r="W14" i="2"/>
  <c r="V14" i="2"/>
  <c r="U14" i="2"/>
  <c r="X13" i="2"/>
  <c r="W13" i="2"/>
  <c r="V13" i="2"/>
  <c r="U13" i="2"/>
  <c r="X12" i="2"/>
  <c r="W12" i="2"/>
  <c r="V12" i="2"/>
  <c r="U12" i="2"/>
  <c r="X11" i="2"/>
  <c r="W11" i="2"/>
  <c r="V11" i="2"/>
  <c r="U11" i="2"/>
  <c r="X10" i="2"/>
  <c r="W10" i="2"/>
  <c r="V10" i="2"/>
  <c r="U10" i="2"/>
  <c r="X9" i="2"/>
  <c r="W9" i="2"/>
  <c r="V9" i="2"/>
  <c r="U9" i="2"/>
  <c r="X8" i="2"/>
  <c r="W8" i="2"/>
  <c r="V8" i="2"/>
  <c r="U8" i="2"/>
  <c r="X7" i="2"/>
  <c r="W7" i="2"/>
  <c r="V7" i="2"/>
  <c r="U7" i="2"/>
  <c r="X6" i="2"/>
  <c r="W6" i="2"/>
  <c r="V6" i="2"/>
  <c r="U6" i="2"/>
  <c r="X5" i="2"/>
  <c r="W5" i="2"/>
  <c r="V5" i="2"/>
  <c r="U5" i="2"/>
  <c r="X4" i="2"/>
  <c r="W4" i="2"/>
  <c r="V4" i="2"/>
  <c r="U4" i="2"/>
  <c r="X3" i="2"/>
  <c r="W3" i="2"/>
  <c r="V3" i="2"/>
  <c r="U3" i="2"/>
  <c r="X237" i="1"/>
  <c r="V234" i="1"/>
  <c r="V233" i="1"/>
  <c r="X233" i="1"/>
  <c r="X232" i="1"/>
  <c r="W233" i="1"/>
  <c r="W232" i="1"/>
  <c r="V228" i="1"/>
  <c r="X227" i="1"/>
  <c r="W227" i="1"/>
  <c r="V227" i="1"/>
  <c r="X226" i="1"/>
  <c r="W226" i="1"/>
  <c r="V221" i="1"/>
  <c r="X220" i="1"/>
  <c r="W220" i="1"/>
  <c r="V202" i="1"/>
  <c r="X201" i="1"/>
  <c r="W201" i="1"/>
  <c r="V196" i="1"/>
  <c r="X195" i="1"/>
  <c r="W195" i="1"/>
  <c r="V194" i="1"/>
  <c r="X193" i="1"/>
  <c r="W19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4" i="1"/>
  <c r="X196" i="1"/>
  <c r="X197" i="1"/>
  <c r="X198" i="1"/>
  <c r="X199" i="1"/>
  <c r="X200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1" i="1"/>
  <c r="X222" i="1"/>
  <c r="X223" i="1"/>
  <c r="X224" i="1"/>
  <c r="X225" i="1"/>
  <c r="X228" i="1"/>
  <c r="X229" i="1"/>
  <c r="X230" i="1"/>
  <c r="X231" i="1"/>
  <c r="X234" i="1"/>
  <c r="X235" i="1"/>
  <c r="X236" i="1"/>
  <c r="X238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4" i="1"/>
  <c r="W196" i="1"/>
  <c r="W197" i="1"/>
  <c r="W198" i="1"/>
  <c r="W199" i="1"/>
  <c r="W200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1" i="1"/>
  <c r="W222" i="1"/>
  <c r="W223" i="1"/>
  <c r="W224" i="1"/>
  <c r="W225" i="1"/>
  <c r="W228" i="1"/>
  <c r="W229" i="1"/>
  <c r="W230" i="1"/>
  <c r="W231" i="1"/>
  <c r="W234" i="1"/>
  <c r="W235" i="1"/>
  <c r="W236" i="1"/>
  <c r="W237" i="1"/>
  <c r="W238" i="1"/>
  <c r="W3" i="1"/>
  <c r="U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5" i="1"/>
  <c r="V197" i="1"/>
  <c r="V198" i="1"/>
  <c r="V199" i="1"/>
  <c r="V200" i="1"/>
  <c r="V201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2" i="1"/>
  <c r="V223" i="1"/>
  <c r="V224" i="1"/>
  <c r="V225" i="1"/>
  <c r="V226" i="1"/>
  <c r="V229" i="1"/>
  <c r="V230" i="1"/>
  <c r="V231" i="1"/>
  <c r="V232" i="1"/>
  <c r="V235" i="1"/>
  <c r="V236" i="1"/>
  <c r="V237" i="1"/>
  <c r="V238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Z3" i="4"/>
  <c r="AA3" i="4"/>
  <c r="AB3" i="4"/>
  <c r="Z4" i="4"/>
  <c r="AA4" i="4"/>
  <c r="AB4" i="4"/>
  <c r="Z5" i="4"/>
  <c r="AA5" i="4"/>
  <c r="AB5" i="4"/>
  <c r="Z6" i="4"/>
  <c r="AA6" i="4"/>
  <c r="AB6" i="4"/>
  <c r="Z7" i="4"/>
  <c r="AA7" i="4"/>
  <c r="AB7" i="4"/>
  <c r="Z8" i="4"/>
  <c r="AA8" i="4"/>
  <c r="AB8" i="4"/>
  <c r="Z9" i="4"/>
  <c r="AA9" i="4"/>
  <c r="AB9" i="4"/>
  <c r="Z10" i="4"/>
  <c r="AA10" i="4"/>
  <c r="AB10" i="4"/>
  <c r="Z11" i="4"/>
  <c r="AA11" i="4"/>
  <c r="AB11" i="4"/>
  <c r="Z12" i="4"/>
  <c r="AA12" i="4"/>
  <c r="AB12" i="4"/>
  <c r="Z13" i="4"/>
  <c r="AA13" i="4"/>
  <c r="AB13" i="4"/>
  <c r="Z14" i="4"/>
  <c r="AA14" i="4"/>
  <c r="AB14" i="4"/>
  <c r="Z15" i="4"/>
  <c r="AA15" i="4"/>
  <c r="AB15" i="4"/>
  <c r="Z16" i="4"/>
  <c r="AA16" i="4"/>
  <c r="AB16" i="4"/>
  <c r="Z17" i="4"/>
  <c r="AA17" i="4"/>
  <c r="AB17" i="4"/>
  <c r="Z18" i="4"/>
  <c r="AA18" i="4"/>
  <c r="AB18" i="4"/>
  <c r="Z19" i="4"/>
  <c r="AA19" i="4"/>
  <c r="AB19" i="4"/>
  <c r="Z20" i="4"/>
  <c r="AA20" i="4"/>
  <c r="AB20" i="4"/>
  <c r="Z21" i="4"/>
  <c r="AA21" i="4"/>
  <c r="AB21" i="4"/>
  <c r="Z22" i="4"/>
  <c r="AA22" i="4"/>
  <c r="AB22" i="4"/>
  <c r="Z23" i="4"/>
  <c r="AA23" i="4"/>
  <c r="AB23" i="4"/>
  <c r="Z24" i="4"/>
  <c r="AA24" i="4"/>
  <c r="AB24" i="4"/>
  <c r="Z25" i="4"/>
  <c r="AA25" i="4"/>
  <c r="AB25" i="4"/>
  <c r="Z26" i="4"/>
  <c r="AA26" i="4"/>
  <c r="AB26" i="4"/>
  <c r="Z27" i="4"/>
  <c r="AA27" i="4"/>
  <c r="AB27" i="4"/>
  <c r="Z28" i="4"/>
  <c r="AA28" i="4"/>
  <c r="AB28" i="4"/>
  <c r="Z29" i="4"/>
  <c r="AA29" i="4"/>
  <c r="AB29" i="4"/>
  <c r="Z30" i="4"/>
  <c r="AA30" i="4"/>
  <c r="AB30" i="4"/>
  <c r="Z31" i="4"/>
  <c r="AA31" i="4"/>
  <c r="AB31" i="4"/>
  <c r="Z32" i="4"/>
  <c r="AA32" i="4"/>
  <c r="AB32" i="4"/>
  <c r="Z33" i="4"/>
  <c r="AA33" i="4"/>
  <c r="AB33" i="4"/>
  <c r="Z34" i="4"/>
  <c r="AA34" i="4"/>
  <c r="AB34" i="4"/>
  <c r="Z35" i="4"/>
  <c r="AA35" i="4"/>
  <c r="AB35" i="4"/>
  <c r="Z36" i="4"/>
  <c r="AA36" i="4"/>
  <c r="AB36" i="4"/>
  <c r="Z37" i="4"/>
  <c r="AA37" i="4"/>
  <c r="AB37" i="4"/>
  <c r="Z38" i="4"/>
  <c r="AA38" i="4"/>
  <c r="AB38" i="4"/>
  <c r="Z39" i="4"/>
  <c r="AA39" i="4"/>
  <c r="AB39" i="4"/>
  <c r="Z40" i="4"/>
  <c r="AA40" i="4"/>
  <c r="AB40" i="4"/>
  <c r="Z41" i="4"/>
  <c r="AA41" i="4"/>
  <c r="AB41" i="4"/>
  <c r="Z42" i="4"/>
  <c r="AA42" i="4"/>
  <c r="AB42" i="4"/>
  <c r="Z43" i="4"/>
  <c r="AA43" i="4"/>
  <c r="AB43" i="4"/>
  <c r="Z44" i="4"/>
  <c r="AA44" i="4"/>
  <c r="AB44" i="4"/>
  <c r="Z45" i="4"/>
  <c r="AA45" i="4"/>
  <c r="AB45" i="4"/>
  <c r="Z46" i="4"/>
  <c r="AA46" i="4"/>
  <c r="AB46" i="4"/>
  <c r="Z47" i="4"/>
  <c r="AA47" i="4"/>
  <c r="AB47" i="4"/>
  <c r="Z48" i="4"/>
  <c r="AA48" i="4"/>
  <c r="AB48" i="4"/>
  <c r="Z49" i="4"/>
  <c r="AA49" i="4"/>
  <c r="AB49" i="4"/>
  <c r="Z50" i="4"/>
  <c r="AA50" i="4"/>
  <c r="AB50" i="4"/>
  <c r="Z51" i="4"/>
  <c r="AA51" i="4"/>
  <c r="AB51" i="4"/>
  <c r="Z52" i="4"/>
  <c r="AA52" i="4"/>
  <c r="AB52" i="4"/>
  <c r="Z53" i="4"/>
  <c r="AA53" i="4"/>
  <c r="AB53" i="4"/>
  <c r="Z54" i="4"/>
  <c r="AA54" i="4"/>
  <c r="AB54" i="4"/>
  <c r="Z55" i="4"/>
  <c r="AA55" i="4"/>
  <c r="AB55" i="4"/>
  <c r="Z56" i="4"/>
  <c r="AA56" i="4"/>
  <c r="AB56" i="4"/>
  <c r="Z57" i="4"/>
  <c r="AA57" i="4"/>
  <c r="AB57" i="4"/>
  <c r="Z58" i="4"/>
  <c r="AA58" i="4"/>
  <c r="AB58" i="4"/>
  <c r="Z59" i="4"/>
  <c r="AA59" i="4"/>
  <c r="AB59" i="4"/>
  <c r="Z60" i="4"/>
  <c r="AA60" i="4"/>
  <c r="AB60" i="4"/>
  <c r="Z61" i="4"/>
  <c r="AA61" i="4"/>
  <c r="AB61" i="4"/>
  <c r="Z62" i="4"/>
  <c r="AA62" i="4"/>
  <c r="AB62" i="4"/>
  <c r="Z63" i="4"/>
  <c r="AA63" i="4"/>
  <c r="AB63" i="4"/>
  <c r="Z64" i="4"/>
  <c r="AA64" i="4"/>
  <c r="AB64" i="4"/>
  <c r="Z65" i="4"/>
  <c r="AA65" i="4"/>
  <c r="AB65" i="4"/>
  <c r="Z66" i="4"/>
  <c r="AA66" i="4"/>
  <c r="AB66" i="4"/>
  <c r="Z67" i="4"/>
  <c r="AA67" i="4"/>
  <c r="AB67" i="4"/>
  <c r="Z68" i="4"/>
  <c r="AA68" i="4"/>
  <c r="AB68" i="4"/>
  <c r="Z69" i="4"/>
  <c r="AA69" i="4"/>
  <c r="AB69" i="4"/>
  <c r="Z70" i="4"/>
  <c r="AA70" i="4"/>
  <c r="AB70" i="4"/>
  <c r="Z71" i="4"/>
  <c r="AA71" i="4"/>
  <c r="AB71" i="4"/>
  <c r="Z72" i="4"/>
  <c r="AA72" i="4"/>
  <c r="AB72" i="4"/>
  <c r="Z73" i="4"/>
  <c r="AA73" i="4"/>
  <c r="AB73" i="4"/>
  <c r="Z74" i="4"/>
  <c r="AA74" i="4"/>
  <c r="AB74" i="4"/>
  <c r="Z75" i="4"/>
  <c r="AA75" i="4"/>
  <c r="AB75" i="4"/>
  <c r="Z76" i="4"/>
  <c r="AA76" i="4"/>
  <c r="AB76" i="4"/>
  <c r="Z77" i="4"/>
  <c r="AA77" i="4"/>
  <c r="AB77" i="4"/>
  <c r="Z78" i="4"/>
  <c r="AA78" i="4"/>
  <c r="AB78" i="4"/>
  <c r="Z79" i="4"/>
  <c r="AA79" i="4"/>
  <c r="AB79" i="4"/>
  <c r="Z80" i="4"/>
  <c r="AA80" i="4"/>
  <c r="AB80" i="4"/>
  <c r="Z81" i="4"/>
  <c r="AA81" i="4"/>
  <c r="AB81" i="4"/>
  <c r="Z82" i="4"/>
  <c r="AA82" i="4"/>
  <c r="AB82" i="4"/>
  <c r="Z83" i="4"/>
  <c r="AA83" i="4"/>
  <c r="AB83" i="4"/>
  <c r="Z84" i="4"/>
  <c r="AA84" i="4"/>
  <c r="AB84" i="4"/>
  <c r="Z85" i="4"/>
  <c r="AA85" i="4"/>
  <c r="AB85" i="4"/>
  <c r="Z86" i="4"/>
  <c r="AA86" i="4"/>
  <c r="AB86" i="4"/>
  <c r="Z87" i="4"/>
  <c r="AA87" i="4"/>
  <c r="AB87" i="4"/>
  <c r="Z88" i="4"/>
  <c r="AA88" i="4"/>
  <c r="AB88" i="4"/>
  <c r="Z89" i="4"/>
  <c r="AA89" i="4"/>
  <c r="AB89" i="4"/>
  <c r="Z90" i="4"/>
  <c r="AA90" i="4"/>
  <c r="AB90" i="4"/>
  <c r="Z91" i="4"/>
  <c r="AA91" i="4"/>
  <c r="AB91" i="4"/>
  <c r="Z92" i="4"/>
  <c r="AA92" i="4"/>
  <c r="AB92" i="4"/>
  <c r="Z93" i="4"/>
  <c r="AA93" i="4"/>
  <c r="AB93" i="4"/>
  <c r="Z94" i="4"/>
  <c r="AA94" i="4"/>
  <c r="AB94" i="4"/>
  <c r="Z95" i="4"/>
  <c r="AA95" i="4"/>
  <c r="AB95" i="4"/>
  <c r="Z96" i="4"/>
  <c r="AA96" i="4"/>
  <c r="AB96" i="4"/>
  <c r="Z97" i="4"/>
  <c r="AA97" i="4"/>
  <c r="AB97" i="4"/>
  <c r="Z98" i="4"/>
  <c r="AA98" i="4"/>
  <c r="AB98" i="4"/>
  <c r="Z99" i="4"/>
  <c r="AA99" i="4"/>
  <c r="AB99" i="4"/>
  <c r="Z100" i="4"/>
  <c r="AA100" i="4"/>
  <c r="AB100" i="4"/>
  <c r="Z101" i="4"/>
  <c r="AA101" i="4"/>
  <c r="AB101" i="4"/>
  <c r="Z102" i="4"/>
  <c r="AA102" i="4"/>
  <c r="AB102" i="4"/>
  <c r="Z103" i="4"/>
  <c r="AA103" i="4"/>
  <c r="AB103" i="4"/>
  <c r="Z104" i="4"/>
  <c r="AA104" i="4"/>
  <c r="AB104" i="4"/>
  <c r="Z105" i="4"/>
  <c r="AA105" i="4"/>
  <c r="AB105" i="4"/>
  <c r="Z106" i="4"/>
  <c r="AA106" i="4"/>
  <c r="AB106" i="4"/>
  <c r="Z107" i="4"/>
  <c r="AA107" i="4"/>
  <c r="AB107" i="4"/>
  <c r="Z108" i="4"/>
  <c r="AA108" i="4"/>
  <c r="AB108" i="4"/>
  <c r="Z109" i="4"/>
  <c r="AA109" i="4"/>
  <c r="AB109" i="4"/>
  <c r="Z110" i="4"/>
  <c r="AA110" i="4"/>
  <c r="AB110" i="4"/>
  <c r="Z111" i="4"/>
  <c r="AA111" i="4"/>
  <c r="AB111" i="4"/>
  <c r="Z112" i="4"/>
  <c r="AA112" i="4"/>
  <c r="AB112" i="4"/>
  <c r="Z113" i="4"/>
  <c r="AA113" i="4"/>
  <c r="AB113" i="4"/>
  <c r="Z114" i="4"/>
  <c r="AA114" i="4"/>
  <c r="AB114" i="4"/>
  <c r="Z115" i="4"/>
  <c r="AA115" i="4"/>
  <c r="AB115" i="4"/>
  <c r="Z116" i="4"/>
  <c r="AA116" i="4"/>
  <c r="AB116" i="4"/>
  <c r="Z117" i="4"/>
  <c r="AA117" i="4"/>
  <c r="AB117" i="4"/>
  <c r="Z118" i="4"/>
  <c r="AA118" i="4"/>
  <c r="AB118" i="4"/>
  <c r="Z119" i="4"/>
  <c r="AA119" i="4"/>
  <c r="AB119" i="4"/>
  <c r="Z120" i="4"/>
  <c r="AA120" i="4"/>
  <c r="AB120" i="4"/>
  <c r="Z121" i="4"/>
  <c r="AA121" i="4"/>
  <c r="AB121" i="4"/>
  <c r="Z122" i="4"/>
  <c r="AA122" i="4"/>
  <c r="AB122" i="4"/>
  <c r="Z123" i="4"/>
  <c r="AA123" i="4"/>
  <c r="AB123" i="4"/>
  <c r="Z124" i="4"/>
  <c r="AA124" i="4"/>
  <c r="AB124" i="4"/>
  <c r="Z125" i="4"/>
  <c r="AA125" i="4"/>
  <c r="AB125" i="4"/>
  <c r="Z126" i="4"/>
  <c r="AA126" i="4"/>
  <c r="AB126" i="4"/>
  <c r="Z127" i="4"/>
  <c r="AA127" i="4"/>
  <c r="AB127" i="4"/>
  <c r="Z128" i="4"/>
  <c r="AA128" i="4"/>
  <c r="AB128" i="4"/>
  <c r="Z129" i="4"/>
  <c r="AA129" i="4"/>
  <c r="AB129" i="4"/>
  <c r="Z130" i="4"/>
  <c r="AA130" i="4"/>
  <c r="AB130" i="4"/>
  <c r="Z131" i="4"/>
  <c r="AA131" i="4"/>
  <c r="AB131" i="4"/>
  <c r="Z132" i="4"/>
  <c r="AA132" i="4"/>
  <c r="AB132" i="4"/>
  <c r="Z133" i="4"/>
  <c r="AA133" i="4"/>
  <c r="AB133" i="4"/>
  <c r="Z134" i="4"/>
  <c r="AA134" i="4"/>
  <c r="AB134" i="4"/>
  <c r="Z135" i="4"/>
  <c r="AA135" i="4"/>
  <c r="AB135" i="4"/>
  <c r="Z136" i="4"/>
  <c r="AA136" i="4"/>
  <c r="AB136" i="4"/>
  <c r="Z137" i="4"/>
  <c r="AA137" i="4"/>
  <c r="AB137" i="4"/>
  <c r="Z138" i="4"/>
  <c r="AA138" i="4"/>
  <c r="AB138" i="4"/>
  <c r="Z139" i="4"/>
  <c r="AA139" i="4"/>
  <c r="AB139" i="4"/>
  <c r="Z140" i="4"/>
  <c r="AA140" i="4"/>
  <c r="AB140" i="4"/>
  <c r="Z141" i="4"/>
  <c r="AA141" i="4"/>
  <c r="AB141" i="4"/>
  <c r="Z142" i="4"/>
  <c r="AA142" i="4"/>
  <c r="AB142" i="4"/>
  <c r="Z143" i="4"/>
  <c r="AA143" i="4"/>
  <c r="AB143" i="4"/>
  <c r="Z144" i="4"/>
  <c r="AA144" i="4"/>
  <c r="AB144" i="4"/>
  <c r="Z145" i="4"/>
  <c r="AA145" i="4"/>
  <c r="AB145" i="4"/>
  <c r="Z146" i="4"/>
  <c r="AA146" i="4"/>
  <c r="AB146" i="4"/>
  <c r="Z147" i="4"/>
  <c r="AA147" i="4"/>
  <c r="AB147" i="4"/>
  <c r="Z148" i="4"/>
  <c r="AA148" i="4"/>
  <c r="AB148" i="4"/>
  <c r="Z149" i="4"/>
  <c r="AA149" i="4"/>
  <c r="AB149" i="4"/>
  <c r="Z150" i="4"/>
  <c r="AA150" i="4"/>
  <c r="AB150" i="4"/>
  <c r="Z151" i="4"/>
  <c r="AA151" i="4"/>
  <c r="AB151" i="4"/>
  <c r="Z152" i="4"/>
  <c r="AA152" i="4"/>
  <c r="AB152" i="4"/>
  <c r="Z153" i="4"/>
  <c r="AA153" i="4"/>
  <c r="AB153" i="4"/>
  <c r="Z154" i="4"/>
  <c r="AA154" i="4"/>
  <c r="AB154" i="4"/>
  <c r="Z155" i="4"/>
  <c r="AA155" i="4"/>
  <c r="AB155" i="4"/>
  <c r="Z156" i="4"/>
  <c r="AA156" i="4"/>
  <c r="AB156" i="4"/>
  <c r="Z157" i="4"/>
  <c r="AA157" i="4"/>
  <c r="AB157" i="4"/>
  <c r="Z158" i="4"/>
  <c r="AA158" i="4"/>
  <c r="AB158" i="4"/>
  <c r="Z159" i="4"/>
  <c r="AA159" i="4"/>
  <c r="AB159" i="4"/>
  <c r="Z160" i="4"/>
  <c r="AA160" i="4"/>
  <c r="AB160" i="4"/>
  <c r="Z161" i="4"/>
  <c r="AA161" i="4"/>
  <c r="AB161" i="4"/>
  <c r="Z162" i="4"/>
  <c r="AA162" i="4"/>
  <c r="AB162" i="4"/>
  <c r="Z163" i="4"/>
  <c r="AA163" i="4"/>
  <c r="AB163" i="4"/>
  <c r="Z164" i="4"/>
  <c r="AA164" i="4"/>
  <c r="AB164" i="4"/>
  <c r="Z165" i="4"/>
  <c r="AA165" i="4"/>
  <c r="AB165" i="4"/>
  <c r="Z166" i="4"/>
  <c r="AA166" i="4"/>
  <c r="AB166" i="4"/>
  <c r="Z167" i="4"/>
  <c r="AA167" i="4"/>
  <c r="AB167" i="4"/>
  <c r="Z168" i="4"/>
  <c r="AA168" i="4"/>
  <c r="AB168" i="4"/>
  <c r="Z169" i="4"/>
  <c r="AA169" i="4"/>
  <c r="AB169" i="4"/>
  <c r="Z170" i="4"/>
  <c r="AA170" i="4"/>
  <c r="AB170" i="4"/>
  <c r="Z171" i="4"/>
  <c r="AA171" i="4"/>
  <c r="AB171" i="4"/>
  <c r="Z172" i="4"/>
  <c r="AA172" i="4"/>
  <c r="AB172" i="4"/>
  <c r="Z173" i="4"/>
  <c r="AA173" i="4"/>
  <c r="AB173" i="4"/>
  <c r="Z174" i="4"/>
  <c r="AA174" i="4"/>
  <c r="AB174" i="4"/>
  <c r="AC174" i="4"/>
  <c r="Z175" i="4"/>
  <c r="AA175" i="4"/>
  <c r="AB175" i="4"/>
  <c r="AC175" i="4"/>
  <c r="AE239" i="3"/>
  <c r="AE240" i="3"/>
  <c r="AE241" i="3"/>
  <c r="AE242" i="3"/>
  <c r="AE243" i="3"/>
  <c r="AE244" i="3"/>
  <c r="AE245" i="3"/>
  <c r="AE246" i="3"/>
  <c r="AD239" i="3"/>
  <c r="AD240" i="3"/>
  <c r="AD241" i="3"/>
  <c r="AD242" i="3"/>
  <c r="AD243" i="3"/>
  <c r="AD244" i="3"/>
  <c r="AD245" i="3"/>
  <c r="AD246" i="3"/>
  <c r="AC239" i="3"/>
  <c r="AC240" i="3"/>
  <c r="AC241" i="3"/>
  <c r="AC242" i="3"/>
  <c r="AC243" i="3"/>
  <c r="AC244" i="3"/>
  <c r="AC245" i="3"/>
  <c r="AC246" i="3"/>
  <c r="AB239" i="3"/>
  <c r="AB240" i="3"/>
  <c r="AB241" i="3"/>
  <c r="AB242" i="3"/>
  <c r="AB243" i="3"/>
  <c r="AB244" i="3"/>
  <c r="AB245" i="3"/>
  <c r="AB246" i="3"/>
  <c r="Z229" i="2"/>
  <c r="AA229" i="2"/>
  <c r="AB229" i="2"/>
  <c r="AC229" i="2"/>
  <c r="Z230" i="2"/>
  <c r="AA230" i="2"/>
  <c r="AB230" i="2"/>
  <c r="AC230" i="2"/>
  <c r="AE238" i="3"/>
  <c r="AD238" i="3"/>
  <c r="AC238" i="3"/>
  <c r="AB238" i="3"/>
  <c r="AE237" i="3"/>
  <c r="AD237" i="3"/>
  <c r="AC237" i="3"/>
  <c r="AB237" i="3"/>
  <c r="AE236" i="3"/>
  <c r="AD236" i="3"/>
  <c r="AC236" i="3"/>
  <c r="AB236" i="3"/>
  <c r="AE235" i="3"/>
  <c r="AD235" i="3"/>
  <c r="AC235" i="3"/>
  <c r="AB235" i="3"/>
  <c r="AE234" i="3"/>
  <c r="AD234" i="3"/>
  <c r="AC234" i="3"/>
  <c r="AB234" i="3"/>
  <c r="AE233" i="3"/>
  <c r="AD233" i="3"/>
  <c r="AC233" i="3"/>
  <c r="AB233" i="3"/>
  <c r="AE232" i="3"/>
  <c r="AD232" i="3"/>
  <c r="AC232" i="3"/>
  <c r="AB232" i="3"/>
  <c r="AE231" i="3"/>
  <c r="AD231" i="3"/>
  <c r="AC231" i="3"/>
  <c r="AB231" i="3"/>
  <c r="AE230" i="3"/>
  <c r="AD230" i="3"/>
  <c r="AC230" i="3"/>
  <c r="AB230" i="3"/>
  <c r="AE229" i="3"/>
  <c r="AD229" i="3"/>
  <c r="AC229" i="3"/>
  <c r="AB229" i="3"/>
  <c r="AE228" i="3"/>
  <c r="AD228" i="3"/>
  <c r="AC228" i="3"/>
  <c r="AB228" i="3"/>
  <c r="AE227" i="3"/>
  <c r="AD227" i="3"/>
  <c r="AC227" i="3"/>
  <c r="AB227" i="3"/>
  <c r="AE226" i="3"/>
  <c r="AD226" i="3"/>
  <c r="AC226" i="3"/>
  <c r="AB226" i="3"/>
  <c r="AE225" i="3"/>
  <c r="AD225" i="3"/>
  <c r="AC225" i="3"/>
  <c r="AB225" i="3"/>
  <c r="AE224" i="3"/>
  <c r="AD224" i="3"/>
  <c r="AC224" i="3"/>
  <c r="AB224" i="3"/>
  <c r="AE223" i="3"/>
  <c r="AD223" i="3"/>
  <c r="AC223" i="3"/>
  <c r="AB223" i="3"/>
  <c r="AE222" i="3"/>
  <c r="AD222" i="3"/>
  <c r="AC222" i="3"/>
  <c r="AB222" i="3"/>
  <c r="AE221" i="3"/>
  <c r="AD221" i="3"/>
  <c r="AC221" i="3"/>
  <c r="AB221" i="3"/>
  <c r="AE220" i="3"/>
  <c r="AD220" i="3"/>
  <c r="AC220" i="3"/>
  <c r="AB220" i="3"/>
  <c r="AE219" i="3"/>
  <c r="AD219" i="3"/>
  <c r="AC219" i="3"/>
  <c r="AB219" i="3"/>
  <c r="AE218" i="3"/>
  <c r="AD218" i="3"/>
  <c r="AC218" i="3"/>
  <c r="AB218" i="3"/>
  <c r="AE217" i="3"/>
  <c r="AD217" i="3"/>
  <c r="AC217" i="3"/>
  <c r="AB217" i="3"/>
  <c r="AE216" i="3"/>
  <c r="AD216" i="3"/>
  <c r="AC216" i="3"/>
  <c r="AB216" i="3"/>
  <c r="AE215" i="3"/>
  <c r="AD215" i="3"/>
  <c r="AC215" i="3"/>
  <c r="AB215" i="3"/>
  <c r="AE214" i="3"/>
  <c r="AD214" i="3"/>
  <c r="AC214" i="3"/>
  <c r="AB214" i="3"/>
  <c r="AE213" i="3"/>
  <c r="AD213" i="3"/>
  <c r="AC213" i="3"/>
  <c r="AB213" i="3"/>
  <c r="AE212" i="3"/>
  <c r="AD212" i="3"/>
  <c r="AC212" i="3"/>
  <c r="AB212" i="3"/>
  <c r="AE211" i="3"/>
  <c r="AD211" i="3"/>
  <c r="AC211" i="3"/>
  <c r="AB211" i="3"/>
  <c r="AE210" i="3"/>
  <c r="AD210" i="3"/>
  <c r="AC210" i="3"/>
  <c r="AB210" i="3"/>
  <c r="AE209" i="3"/>
  <c r="AD209" i="3"/>
  <c r="AC209" i="3"/>
  <c r="AB209" i="3"/>
  <c r="AE208" i="3"/>
  <c r="AD208" i="3"/>
  <c r="AC208" i="3"/>
  <c r="AB208" i="3"/>
  <c r="AE207" i="3"/>
  <c r="AD207" i="3"/>
  <c r="AC207" i="3"/>
  <c r="AB207" i="3"/>
  <c r="AE206" i="3"/>
  <c r="AD206" i="3"/>
  <c r="AC206" i="3"/>
  <c r="AB206" i="3"/>
  <c r="AE205" i="3"/>
  <c r="AD205" i="3"/>
  <c r="AC205" i="3"/>
  <c r="AB205" i="3"/>
  <c r="AE204" i="3"/>
  <c r="AD204" i="3"/>
  <c r="AC204" i="3"/>
  <c r="AB204" i="3"/>
  <c r="AE203" i="3"/>
  <c r="AD203" i="3"/>
  <c r="AC203" i="3"/>
  <c r="AB203" i="3"/>
  <c r="AE202" i="3"/>
  <c r="AD202" i="3"/>
  <c r="AC202" i="3"/>
  <c r="AB202" i="3"/>
  <c r="AE201" i="3"/>
  <c r="AD201" i="3"/>
  <c r="AC201" i="3"/>
  <c r="AB201" i="3"/>
  <c r="AE200" i="3"/>
  <c r="AD200" i="3"/>
  <c r="AC200" i="3"/>
  <c r="AB200" i="3"/>
  <c r="AE199" i="3"/>
  <c r="AD199" i="3"/>
  <c r="AC199" i="3"/>
  <c r="AB199" i="3"/>
  <c r="AE198" i="3"/>
  <c r="AD198" i="3"/>
  <c r="AC198" i="3"/>
  <c r="AB198" i="3"/>
  <c r="AE197" i="3"/>
  <c r="AD197" i="3"/>
  <c r="AC197" i="3"/>
  <c r="AB197" i="3"/>
  <c r="AE196" i="3"/>
  <c r="AD196" i="3"/>
  <c r="AC196" i="3"/>
  <c r="AB196" i="3"/>
  <c r="AE195" i="3"/>
  <c r="AD195" i="3"/>
  <c r="AC195" i="3"/>
  <c r="AB195" i="3"/>
  <c r="AE194" i="3"/>
  <c r="AD194" i="3"/>
  <c r="AC194" i="3"/>
  <c r="AB194" i="3"/>
  <c r="AE193" i="3"/>
  <c r="AD193" i="3"/>
  <c r="AC193" i="3"/>
  <c r="AB193" i="3"/>
  <c r="AE192" i="3"/>
  <c r="AD192" i="3"/>
  <c r="AC192" i="3"/>
  <c r="AB192" i="3"/>
  <c r="AE191" i="3"/>
  <c r="AD191" i="3"/>
  <c r="AC191" i="3"/>
  <c r="AB191" i="3"/>
  <c r="AE190" i="3"/>
  <c r="AD190" i="3"/>
  <c r="AC190" i="3"/>
  <c r="AB190" i="3"/>
  <c r="AE189" i="3"/>
  <c r="AD189" i="3"/>
  <c r="AC189" i="3"/>
  <c r="AB189" i="3"/>
  <c r="AE188" i="3"/>
  <c r="AD188" i="3"/>
  <c r="AC188" i="3"/>
  <c r="AB188" i="3"/>
  <c r="AE187" i="3"/>
  <c r="AD187" i="3"/>
  <c r="AC187" i="3"/>
  <c r="AB187" i="3"/>
  <c r="AE186" i="3"/>
  <c r="AD186" i="3"/>
  <c r="AC186" i="3"/>
  <c r="AB186" i="3"/>
  <c r="AE185" i="3"/>
  <c r="AD185" i="3"/>
  <c r="AC185" i="3"/>
  <c r="AB185" i="3"/>
  <c r="AE184" i="3"/>
  <c r="AD184" i="3"/>
  <c r="AC184" i="3"/>
  <c r="AB184" i="3"/>
  <c r="AE183" i="3"/>
  <c r="AD183" i="3"/>
  <c r="AC183" i="3"/>
  <c r="AB183" i="3"/>
  <c r="AE182" i="3"/>
  <c r="AD182" i="3"/>
  <c r="AC182" i="3"/>
  <c r="AB182" i="3"/>
  <c r="AE181" i="3"/>
  <c r="AD181" i="3"/>
  <c r="AC181" i="3"/>
  <c r="AB181" i="3"/>
  <c r="AE180" i="3"/>
  <c r="AD180" i="3"/>
  <c r="AC180" i="3"/>
  <c r="AB180" i="3"/>
  <c r="AE179" i="3"/>
  <c r="AD179" i="3"/>
  <c r="AC179" i="3"/>
  <c r="AB179" i="3"/>
  <c r="AE178" i="3"/>
  <c r="AD178" i="3"/>
  <c r="AC178" i="3"/>
  <c r="AB178" i="3"/>
  <c r="AE177" i="3"/>
  <c r="AD177" i="3"/>
  <c r="AC177" i="3"/>
  <c r="AB177" i="3"/>
  <c r="AE176" i="3"/>
  <c r="AD176" i="3"/>
  <c r="AC176" i="3"/>
  <c r="AB176" i="3"/>
  <c r="AE175" i="3"/>
  <c r="AD175" i="3"/>
  <c r="AC175" i="3"/>
  <c r="AB175" i="3"/>
  <c r="AE174" i="3"/>
  <c r="AD174" i="3"/>
  <c r="AC174" i="3"/>
  <c r="AB174" i="3"/>
  <c r="AE173" i="3"/>
  <c r="AD173" i="3"/>
  <c r="AC173" i="3"/>
  <c r="AB173" i="3"/>
  <c r="AE172" i="3"/>
  <c r="AD172" i="3"/>
  <c r="AC172" i="3"/>
  <c r="AB172" i="3"/>
  <c r="AE171" i="3"/>
  <c r="AD171" i="3"/>
  <c r="AC171" i="3"/>
  <c r="AB171" i="3"/>
  <c r="AE170" i="3"/>
  <c r="AD170" i="3"/>
  <c r="AC170" i="3"/>
  <c r="AB170" i="3"/>
  <c r="AE169" i="3"/>
  <c r="AD169" i="3"/>
  <c r="AC169" i="3"/>
  <c r="AB169" i="3"/>
  <c r="AE168" i="3"/>
  <c r="AD168" i="3"/>
  <c r="AC168" i="3"/>
  <c r="AB168" i="3"/>
  <c r="AE167" i="3"/>
  <c r="AD167" i="3"/>
  <c r="AC167" i="3"/>
  <c r="AB167" i="3"/>
  <c r="AE166" i="3"/>
  <c r="AD166" i="3"/>
  <c r="AC166" i="3"/>
  <c r="AB166" i="3"/>
  <c r="AE165" i="3"/>
  <c r="AD165" i="3"/>
  <c r="AC165" i="3"/>
  <c r="AB165" i="3"/>
  <c r="AE164" i="3"/>
  <c r="AD164" i="3"/>
  <c r="AC164" i="3"/>
  <c r="AB164" i="3"/>
  <c r="AE163" i="3"/>
  <c r="AD163" i="3"/>
  <c r="AC163" i="3"/>
  <c r="AB163" i="3"/>
  <c r="AE162" i="3"/>
  <c r="AD162" i="3"/>
  <c r="AC162" i="3"/>
  <c r="AB162" i="3"/>
  <c r="AE161" i="3"/>
  <c r="AD161" i="3"/>
  <c r="AC161" i="3"/>
  <c r="AB161" i="3"/>
  <c r="AE160" i="3"/>
  <c r="AD160" i="3"/>
  <c r="AC160" i="3"/>
  <c r="AB160" i="3"/>
  <c r="AE159" i="3"/>
  <c r="AD159" i="3"/>
  <c r="AC159" i="3"/>
  <c r="AB159" i="3"/>
  <c r="AE158" i="3"/>
  <c r="AD158" i="3"/>
  <c r="AC158" i="3"/>
  <c r="AB158" i="3"/>
  <c r="AE157" i="3"/>
  <c r="AD157" i="3"/>
  <c r="AC157" i="3"/>
  <c r="AB157" i="3"/>
  <c r="AE156" i="3"/>
  <c r="AD156" i="3"/>
  <c r="AC156" i="3"/>
  <c r="AB156" i="3"/>
  <c r="AE155" i="3"/>
  <c r="AD155" i="3"/>
  <c r="AC155" i="3"/>
  <c r="AB155" i="3"/>
  <c r="AE154" i="3"/>
  <c r="AD154" i="3"/>
  <c r="AC154" i="3"/>
  <c r="AB154" i="3"/>
  <c r="AE153" i="3"/>
  <c r="AD153" i="3"/>
  <c r="AC153" i="3"/>
  <c r="AB153" i="3"/>
  <c r="AE152" i="3"/>
  <c r="AD152" i="3"/>
  <c r="AC152" i="3"/>
  <c r="AB152" i="3"/>
  <c r="AE151" i="3"/>
  <c r="AD151" i="3"/>
  <c r="AC151" i="3"/>
  <c r="AB151" i="3"/>
  <c r="AE150" i="3"/>
  <c r="AD150" i="3"/>
  <c r="AC150" i="3"/>
  <c r="AB150" i="3"/>
  <c r="AE149" i="3"/>
  <c r="AD149" i="3"/>
  <c r="AC149" i="3"/>
  <c r="AB149" i="3"/>
  <c r="AE148" i="3"/>
  <c r="AD148" i="3"/>
  <c r="AC148" i="3"/>
  <c r="AB148" i="3"/>
  <c r="AE147" i="3"/>
  <c r="AD147" i="3"/>
  <c r="AC147" i="3"/>
  <c r="AB147" i="3"/>
  <c r="AE146" i="3"/>
  <c r="AD146" i="3"/>
  <c r="AC146" i="3"/>
  <c r="AB146" i="3"/>
  <c r="AE145" i="3"/>
  <c r="AD145" i="3"/>
  <c r="AC145" i="3"/>
  <c r="AB145" i="3"/>
  <c r="AE144" i="3"/>
  <c r="AD144" i="3"/>
  <c r="AC144" i="3"/>
  <c r="AB144" i="3"/>
  <c r="AE143" i="3"/>
  <c r="AD143" i="3"/>
  <c r="AC143" i="3"/>
  <c r="AB143" i="3"/>
  <c r="AE142" i="3"/>
  <c r="AD142" i="3"/>
  <c r="AC142" i="3"/>
  <c r="AB142" i="3"/>
  <c r="AE141" i="3"/>
  <c r="AD141" i="3"/>
  <c r="AC141" i="3"/>
  <c r="AB141" i="3"/>
  <c r="AE140" i="3"/>
  <c r="AD140" i="3"/>
  <c r="AC140" i="3"/>
  <c r="AB140" i="3"/>
  <c r="AE139" i="3"/>
  <c r="AD139" i="3"/>
  <c r="AC139" i="3"/>
  <c r="AB139" i="3"/>
  <c r="AE138" i="3"/>
  <c r="AD138" i="3"/>
  <c r="AC138" i="3"/>
  <c r="AB138" i="3"/>
  <c r="AE137" i="3"/>
  <c r="AD137" i="3"/>
  <c r="AC137" i="3"/>
  <c r="AB137" i="3"/>
  <c r="AE136" i="3"/>
  <c r="AD136" i="3"/>
  <c r="AC136" i="3"/>
  <c r="AB136" i="3"/>
  <c r="AE135" i="3"/>
  <c r="AD135" i="3"/>
  <c r="AC135" i="3"/>
  <c r="AB135" i="3"/>
  <c r="AE134" i="3"/>
  <c r="AD134" i="3"/>
  <c r="AC134" i="3"/>
  <c r="AB134" i="3"/>
  <c r="AE133" i="3"/>
  <c r="AD133" i="3"/>
  <c r="AC133" i="3"/>
  <c r="AB133" i="3"/>
  <c r="AE132" i="3"/>
  <c r="AD132" i="3"/>
  <c r="AC132" i="3"/>
  <c r="AB132" i="3"/>
  <c r="AE131" i="3"/>
  <c r="AD131" i="3"/>
  <c r="AC131" i="3"/>
  <c r="AB131" i="3"/>
  <c r="AE130" i="3"/>
  <c r="AD130" i="3"/>
  <c r="AC130" i="3"/>
  <c r="AB130" i="3"/>
  <c r="AE129" i="3"/>
  <c r="AD129" i="3"/>
  <c r="AC129" i="3"/>
  <c r="AB129" i="3"/>
  <c r="AE128" i="3"/>
  <c r="AD128" i="3"/>
  <c r="AC128" i="3"/>
  <c r="AB128" i="3"/>
  <c r="AE127" i="3"/>
  <c r="AD127" i="3"/>
  <c r="AC127" i="3"/>
  <c r="AB127" i="3"/>
  <c r="AE126" i="3"/>
  <c r="AD126" i="3"/>
  <c r="AC126" i="3"/>
  <c r="AB126" i="3"/>
  <c r="AE125" i="3"/>
  <c r="AD125" i="3"/>
  <c r="AC125" i="3"/>
  <c r="AB125" i="3"/>
  <c r="AE124" i="3"/>
  <c r="AD124" i="3"/>
  <c r="AC124" i="3"/>
  <c r="AB124" i="3"/>
  <c r="AE123" i="3"/>
  <c r="AD123" i="3"/>
  <c r="AC123" i="3"/>
  <c r="AB123" i="3"/>
  <c r="AE122" i="3"/>
  <c r="AD122" i="3"/>
  <c r="AC122" i="3"/>
  <c r="AB122" i="3"/>
  <c r="AE121" i="3"/>
  <c r="AD121" i="3"/>
  <c r="AC121" i="3"/>
  <c r="AB121" i="3"/>
  <c r="AE120" i="3"/>
  <c r="AD120" i="3"/>
  <c r="AC120" i="3"/>
  <c r="AB120" i="3"/>
  <c r="AE119" i="3"/>
  <c r="AD119" i="3"/>
  <c r="AC119" i="3"/>
  <c r="AB119" i="3"/>
  <c r="AE118" i="3"/>
  <c r="AD118" i="3"/>
  <c r="AC118" i="3"/>
  <c r="AB118" i="3"/>
  <c r="AE117" i="3"/>
  <c r="AD117" i="3"/>
  <c r="AC117" i="3"/>
  <c r="AB117" i="3"/>
  <c r="AE116" i="3"/>
  <c r="AD116" i="3"/>
  <c r="AC116" i="3"/>
  <c r="AB116" i="3"/>
  <c r="AE115" i="3"/>
  <c r="AD115" i="3"/>
  <c r="AC115" i="3"/>
  <c r="AB115" i="3"/>
  <c r="AE114" i="3"/>
  <c r="AD114" i="3"/>
  <c r="AC114" i="3"/>
  <c r="AB114" i="3"/>
  <c r="AE113" i="3"/>
  <c r="AD113" i="3"/>
  <c r="AC113" i="3"/>
  <c r="AB113" i="3"/>
  <c r="AE112" i="3"/>
  <c r="AD112" i="3"/>
  <c r="AC112" i="3"/>
  <c r="AB112" i="3"/>
  <c r="AE111" i="3"/>
  <c r="AD111" i="3"/>
  <c r="AC111" i="3"/>
  <c r="AB111" i="3"/>
  <c r="AE110" i="3"/>
  <c r="AD110" i="3"/>
  <c r="AC110" i="3"/>
  <c r="AB110" i="3"/>
  <c r="AE109" i="3"/>
  <c r="AD109" i="3"/>
  <c r="AC109" i="3"/>
  <c r="AB109" i="3"/>
  <c r="AE108" i="3"/>
  <c r="AD108" i="3"/>
  <c r="AC108" i="3"/>
  <c r="AB108" i="3"/>
  <c r="AE107" i="3"/>
  <c r="AD107" i="3"/>
  <c r="AC107" i="3"/>
  <c r="AB107" i="3"/>
  <c r="AE106" i="3"/>
  <c r="AD106" i="3"/>
  <c r="AC106" i="3"/>
  <c r="AB106" i="3"/>
  <c r="AE105" i="3"/>
  <c r="AD105" i="3"/>
  <c r="AC105" i="3"/>
  <c r="AB105" i="3"/>
  <c r="AE104" i="3"/>
  <c r="AD104" i="3"/>
  <c r="AC104" i="3"/>
  <c r="AB104" i="3"/>
  <c r="AE103" i="3"/>
  <c r="AD103" i="3"/>
  <c r="AC103" i="3"/>
  <c r="AB103" i="3"/>
  <c r="AE102" i="3"/>
  <c r="AD102" i="3"/>
  <c r="AC102" i="3"/>
  <c r="AB102" i="3"/>
  <c r="AE101" i="3"/>
  <c r="AD101" i="3"/>
  <c r="AC101" i="3"/>
  <c r="AB101" i="3"/>
  <c r="AE100" i="3"/>
  <c r="AD100" i="3"/>
  <c r="AC100" i="3"/>
  <c r="AB100" i="3"/>
  <c r="AE99" i="3"/>
  <c r="AD99" i="3"/>
  <c r="AC99" i="3"/>
  <c r="AB99" i="3"/>
  <c r="AE98" i="3"/>
  <c r="AD98" i="3"/>
  <c r="AC98" i="3"/>
  <c r="AB98" i="3"/>
  <c r="AE97" i="3"/>
  <c r="AD97" i="3"/>
  <c r="AC97" i="3"/>
  <c r="AB97" i="3"/>
  <c r="AE96" i="3"/>
  <c r="AD96" i="3"/>
  <c r="AC96" i="3"/>
  <c r="AB96" i="3"/>
  <c r="AE95" i="3"/>
  <c r="AD95" i="3"/>
  <c r="AC95" i="3"/>
  <c r="AB95" i="3"/>
  <c r="AE94" i="3"/>
  <c r="AD94" i="3"/>
  <c r="AC94" i="3"/>
  <c r="AB94" i="3"/>
  <c r="AE93" i="3"/>
  <c r="AD93" i="3"/>
  <c r="AC93" i="3"/>
  <c r="AB93" i="3"/>
  <c r="AE92" i="3"/>
  <c r="AD92" i="3"/>
  <c r="AC92" i="3"/>
  <c r="AB92" i="3"/>
  <c r="AE91" i="3"/>
  <c r="AD91" i="3"/>
  <c r="AC91" i="3"/>
  <c r="AB91" i="3"/>
  <c r="AE90" i="3"/>
  <c r="AD90" i="3"/>
  <c r="AC90" i="3"/>
  <c r="AB90" i="3"/>
  <c r="AE89" i="3"/>
  <c r="AD89" i="3"/>
  <c r="AC89" i="3"/>
  <c r="AB89" i="3"/>
  <c r="AE88" i="3"/>
  <c r="AD88" i="3"/>
  <c r="AC88" i="3"/>
  <c r="AB88" i="3"/>
  <c r="AE87" i="3"/>
  <c r="AD87" i="3"/>
  <c r="AC87" i="3"/>
  <c r="AB87" i="3"/>
  <c r="AE86" i="3"/>
  <c r="AD86" i="3"/>
  <c r="AC86" i="3"/>
  <c r="AB86" i="3"/>
  <c r="AE85" i="3"/>
  <c r="AD85" i="3"/>
  <c r="AC85" i="3"/>
  <c r="AB85" i="3"/>
  <c r="AE84" i="3"/>
  <c r="AD84" i="3"/>
  <c r="AC84" i="3"/>
  <c r="AB84" i="3"/>
  <c r="AE83" i="3"/>
  <c r="AD83" i="3"/>
  <c r="AC83" i="3"/>
  <c r="AB83" i="3"/>
  <c r="AE82" i="3"/>
  <c r="AD82" i="3"/>
  <c r="AC82" i="3"/>
  <c r="AB82" i="3"/>
  <c r="AE81" i="3"/>
  <c r="AD81" i="3"/>
  <c r="AC81" i="3"/>
  <c r="AB81" i="3"/>
  <c r="AE80" i="3"/>
  <c r="AD80" i="3"/>
  <c r="AC80" i="3"/>
  <c r="AB80" i="3"/>
  <c r="AE79" i="3"/>
  <c r="AD79" i="3"/>
  <c r="AC79" i="3"/>
  <c r="AB79" i="3"/>
  <c r="AE78" i="3"/>
  <c r="AD78" i="3"/>
  <c r="AC78" i="3"/>
  <c r="AB78" i="3"/>
  <c r="AE77" i="3"/>
  <c r="AD77" i="3"/>
  <c r="AC77" i="3"/>
  <c r="AB77" i="3"/>
  <c r="AE76" i="3"/>
  <c r="AD76" i="3"/>
  <c r="AC76" i="3"/>
  <c r="AB76" i="3"/>
  <c r="AE75" i="3"/>
  <c r="AD75" i="3"/>
  <c r="AC75" i="3"/>
  <c r="AB75" i="3"/>
  <c r="AE74" i="3"/>
  <c r="AD74" i="3"/>
  <c r="AC74" i="3"/>
  <c r="AB74" i="3"/>
  <c r="AE73" i="3"/>
  <c r="AD73" i="3"/>
  <c r="AC73" i="3"/>
  <c r="AB73" i="3"/>
  <c r="AE72" i="3"/>
  <c r="AD72" i="3"/>
  <c r="AC72" i="3"/>
  <c r="AB72" i="3"/>
  <c r="AE71" i="3"/>
  <c r="AD71" i="3"/>
  <c r="AC71" i="3"/>
  <c r="AB71" i="3"/>
  <c r="AE70" i="3"/>
  <c r="AD70" i="3"/>
  <c r="AC70" i="3"/>
  <c r="AB70" i="3"/>
  <c r="AE69" i="3"/>
  <c r="AD69" i="3"/>
  <c r="AC69" i="3"/>
  <c r="AB69" i="3"/>
  <c r="AE68" i="3"/>
  <c r="AD68" i="3"/>
  <c r="AC68" i="3"/>
  <c r="AB68" i="3"/>
  <c r="AE67" i="3"/>
  <c r="AD67" i="3"/>
  <c r="AC67" i="3"/>
  <c r="AB67" i="3"/>
  <c r="AE66" i="3"/>
  <c r="AD66" i="3"/>
  <c r="AC66" i="3"/>
  <c r="AB66" i="3"/>
  <c r="AE65" i="3"/>
  <c r="AD65" i="3"/>
  <c r="AC65" i="3"/>
  <c r="AB65" i="3"/>
  <c r="AE64" i="3"/>
  <c r="AD64" i="3"/>
  <c r="AC64" i="3"/>
  <c r="AB64" i="3"/>
  <c r="AE63" i="3"/>
  <c r="AD63" i="3"/>
  <c r="AC63" i="3"/>
  <c r="AB63" i="3"/>
  <c r="AE62" i="3"/>
  <c r="AD62" i="3"/>
  <c r="AC62" i="3"/>
  <c r="AB62" i="3"/>
  <c r="AE61" i="3"/>
  <c r="AD61" i="3"/>
  <c r="AC61" i="3"/>
  <c r="AB61" i="3"/>
  <c r="AE60" i="3"/>
  <c r="AD60" i="3"/>
  <c r="AC60" i="3"/>
  <c r="AB60" i="3"/>
  <c r="AE59" i="3"/>
  <c r="AD59" i="3"/>
  <c r="AC59" i="3"/>
  <c r="AB59" i="3"/>
  <c r="AE58" i="3"/>
  <c r="AD58" i="3"/>
  <c r="AC58" i="3"/>
  <c r="AB58" i="3"/>
  <c r="AE57" i="3"/>
  <c r="AD57" i="3"/>
  <c r="AC57" i="3"/>
  <c r="AB57" i="3"/>
  <c r="AE56" i="3"/>
  <c r="AD56" i="3"/>
  <c r="AC56" i="3"/>
  <c r="AB56" i="3"/>
  <c r="AE55" i="3"/>
  <c r="AD55" i="3"/>
  <c r="AC55" i="3"/>
  <c r="AB55" i="3"/>
  <c r="AE54" i="3"/>
  <c r="AD54" i="3"/>
  <c r="AC54" i="3"/>
  <c r="AB54" i="3"/>
  <c r="AE53" i="3"/>
  <c r="AD53" i="3"/>
  <c r="AC53" i="3"/>
  <c r="AB53" i="3"/>
  <c r="AE52" i="3"/>
  <c r="AD52" i="3"/>
  <c r="AC52" i="3"/>
  <c r="AB52" i="3"/>
  <c r="AE51" i="3"/>
  <c r="AD51" i="3"/>
  <c r="AC51" i="3"/>
  <c r="AB51" i="3"/>
  <c r="AE50" i="3"/>
  <c r="AD50" i="3"/>
  <c r="AC50" i="3"/>
  <c r="AB50" i="3"/>
  <c r="AE49" i="3"/>
  <c r="AD49" i="3"/>
  <c r="AC49" i="3"/>
  <c r="AB49" i="3"/>
  <c r="AE48" i="3"/>
  <c r="AD48" i="3"/>
  <c r="AC48" i="3"/>
  <c r="AB48" i="3"/>
  <c r="AE47" i="3"/>
  <c r="AD47" i="3"/>
  <c r="AC47" i="3"/>
  <c r="AB47" i="3"/>
  <c r="AE46" i="3"/>
  <c r="AD46" i="3"/>
  <c r="AC46" i="3"/>
  <c r="AB46" i="3"/>
  <c r="AE45" i="3"/>
  <c r="AD45" i="3"/>
  <c r="AC45" i="3"/>
  <c r="AB45" i="3"/>
  <c r="AE44" i="3"/>
  <c r="AD44" i="3"/>
  <c r="AC44" i="3"/>
  <c r="AB44" i="3"/>
  <c r="AE43" i="3"/>
  <c r="AD43" i="3"/>
  <c r="AC43" i="3"/>
  <c r="AB43" i="3"/>
  <c r="AE42" i="3"/>
  <c r="AD42" i="3"/>
  <c r="AC42" i="3"/>
  <c r="AB42" i="3"/>
  <c r="AE41" i="3"/>
  <c r="AD41" i="3"/>
  <c r="AC41" i="3"/>
  <c r="AB41" i="3"/>
  <c r="AE40" i="3"/>
  <c r="AD40" i="3"/>
  <c r="AC40" i="3"/>
  <c r="AB40" i="3"/>
  <c r="AE39" i="3"/>
  <c r="AD39" i="3"/>
  <c r="AC39" i="3"/>
  <c r="AB39" i="3"/>
  <c r="AE38" i="3"/>
  <c r="AD38" i="3"/>
  <c r="AC38" i="3"/>
  <c r="AB38" i="3"/>
  <c r="AE37" i="3"/>
  <c r="AD37" i="3"/>
  <c r="AC37" i="3"/>
  <c r="AB37" i="3"/>
  <c r="AE36" i="3"/>
  <c r="AD36" i="3"/>
  <c r="AC36" i="3"/>
  <c r="AB36" i="3"/>
  <c r="AE35" i="3"/>
  <c r="AD35" i="3"/>
  <c r="AC35" i="3"/>
  <c r="AB35" i="3"/>
  <c r="AE34" i="3"/>
  <c r="AD34" i="3"/>
  <c r="AC34" i="3"/>
  <c r="AB34" i="3"/>
  <c r="AE33" i="3"/>
  <c r="AD33" i="3"/>
  <c r="AC33" i="3"/>
  <c r="AB33" i="3"/>
  <c r="AE32" i="3"/>
  <c r="AD32" i="3"/>
  <c r="AC32" i="3"/>
  <c r="AB32" i="3"/>
  <c r="AE31" i="3"/>
  <c r="AD31" i="3"/>
  <c r="AC31" i="3"/>
  <c r="AB31" i="3"/>
  <c r="AE30" i="3"/>
  <c r="AD30" i="3"/>
  <c r="AC30" i="3"/>
  <c r="AB30" i="3"/>
  <c r="AE29" i="3"/>
  <c r="AD29" i="3"/>
  <c r="AC29" i="3"/>
  <c r="AB29" i="3"/>
  <c r="AE28" i="3"/>
  <c r="AD28" i="3"/>
  <c r="AC28" i="3"/>
  <c r="AB28" i="3"/>
  <c r="AE27" i="3"/>
  <c r="AD27" i="3"/>
  <c r="AC27" i="3"/>
  <c r="AB27" i="3"/>
  <c r="AE26" i="3"/>
  <c r="AD26" i="3"/>
  <c r="AC26" i="3"/>
  <c r="AB26" i="3"/>
  <c r="AE25" i="3"/>
  <c r="AD25" i="3"/>
  <c r="AC25" i="3"/>
  <c r="AB25" i="3"/>
  <c r="AE24" i="3"/>
  <c r="AD24" i="3"/>
  <c r="AC24" i="3"/>
  <c r="AB24" i="3"/>
  <c r="AE23" i="3"/>
  <c r="AD23" i="3"/>
  <c r="AC23" i="3"/>
  <c r="AB23" i="3"/>
  <c r="AE22" i="3"/>
  <c r="AD22" i="3"/>
  <c r="AC22" i="3"/>
  <c r="AB22" i="3"/>
  <c r="AE21" i="3"/>
  <c r="AD21" i="3"/>
  <c r="AC21" i="3"/>
  <c r="AB21" i="3"/>
  <c r="AE20" i="3"/>
  <c r="AD20" i="3"/>
  <c r="AC20" i="3"/>
  <c r="AB20" i="3"/>
  <c r="AE19" i="3"/>
  <c r="AD19" i="3"/>
  <c r="AC19" i="3"/>
  <c r="AB19" i="3"/>
  <c r="AE18" i="3"/>
  <c r="AD18" i="3"/>
  <c r="AC18" i="3"/>
  <c r="AB18" i="3"/>
  <c r="AE17" i="3"/>
  <c r="AD17" i="3"/>
  <c r="AC17" i="3"/>
  <c r="AB17" i="3"/>
  <c r="AE16" i="3"/>
  <c r="AD16" i="3"/>
  <c r="AC16" i="3"/>
  <c r="AB16" i="3"/>
  <c r="AE15" i="3"/>
  <c r="AD15" i="3"/>
  <c r="AC15" i="3"/>
  <c r="AB15" i="3"/>
  <c r="AE14" i="3"/>
  <c r="AD14" i="3"/>
  <c r="AC14" i="3"/>
  <c r="AB14" i="3"/>
  <c r="AE13" i="3"/>
  <c r="AD13" i="3"/>
  <c r="AC13" i="3"/>
  <c r="AB13" i="3"/>
  <c r="AE12" i="3"/>
  <c r="AD12" i="3"/>
  <c r="AC12" i="3"/>
  <c r="AB12" i="3"/>
  <c r="AE11" i="3"/>
  <c r="AD11" i="3"/>
  <c r="AC11" i="3"/>
  <c r="AB11" i="3"/>
  <c r="AE10" i="3"/>
  <c r="AD10" i="3"/>
  <c r="AC10" i="3"/>
  <c r="AB10" i="3"/>
  <c r="AE9" i="3"/>
  <c r="AD9" i="3"/>
  <c r="AC9" i="3"/>
  <c r="AB9" i="3"/>
  <c r="AE8" i="3"/>
  <c r="AD8" i="3"/>
  <c r="AC8" i="3"/>
  <c r="AB8" i="3"/>
  <c r="AE7" i="3"/>
  <c r="AD7" i="3"/>
  <c r="AC7" i="3"/>
  <c r="AB7" i="3"/>
  <c r="AE6" i="3"/>
  <c r="AD6" i="3"/>
  <c r="AC6" i="3"/>
  <c r="AB6" i="3"/>
  <c r="AE5" i="3"/>
  <c r="AD5" i="3"/>
  <c r="AC5" i="3"/>
  <c r="AB5" i="3"/>
  <c r="AE4" i="3"/>
  <c r="AD4" i="3"/>
  <c r="AC4" i="3"/>
  <c r="AB4" i="3"/>
  <c r="AE3" i="3"/>
  <c r="AD3" i="3"/>
  <c r="AC3" i="3"/>
  <c r="AB3" i="3"/>
  <c r="AC228" i="2"/>
  <c r="AB228" i="2"/>
  <c r="AA228" i="2"/>
  <c r="Z228" i="2"/>
  <c r="AC227" i="2"/>
  <c r="AB227" i="2"/>
  <c r="AA227" i="2"/>
  <c r="Z227" i="2"/>
  <c r="AC226" i="2"/>
  <c r="AB226" i="2"/>
  <c r="AA226" i="2"/>
  <c r="Z226" i="2"/>
  <c r="AC225" i="2"/>
  <c r="AB225" i="2"/>
  <c r="AA225" i="2"/>
  <c r="Z225" i="2"/>
  <c r="AC224" i="2"/>
  <c r="AB224" i="2"/>
  <c r="AA224" i="2"/>
  <c r="Z224" i="2"/>
  <c r="AC223" i="2"/>
  <c r="AB223" i="2"/>
  <c r="AA223" i="2"/>
  <c r="Z223" i="2"/>
  <c r="AC222" i="2"/>
  <c r="AB222" i="2"/>
  <c r="AA222" i="2"/>
  <c r="Z222" i="2"/>
  <c r="AC221" i="2"/>
  <c r="AB221" i="2"/>
  <c r="AA221" i="2"/>
  <c r="Z221" i="2"/>
  <c r="AC220" i="2"/>
  <c r="AB220" i="2"/>
  <c r="AA220" i="2"/>
  <c r="Z220" i="2"/>
  <c r="AC219" i="2"/>
  <c r="AB219" i="2"/>
  <c r="AA219" i="2"/>
  <c r="Z219" i="2"/>
  <c r="AC218" i="2"/>
  <c r="AB218" i="2"/>
  <c r="AA218" i="2"/>
  <c r="Z218" i="2"/>
  <c r="AC217" i="2"/>
  <c r="AB217" i="2"/>
  <c r="AA217" i="2"/>
  <c r="Z217" i="2"/>
  <c r="AC216" i="2"/>
  <c r="AB216" i="2"/>
  <c r="AA216" i="2"/>
  <c r="Z216" i="2"/>
  <c r="AC215" i="2"/>
  <c r="AB215" i="2"/>
  <c r="AA215" i="2"/>
  <c r="Z215" i="2"/>
  <c r="AC214" i="2"/>
  <c r="AB214" i="2"/>
  <c r="AA214" i="2"/>
  <c r="Z214" i="2"/>
  <c r="AC213" i="2"/>
  <c r="AB213" i="2"/>
  <c r="AA213" i="2"/>
  <c r="Z213" i="2"/>
  <c r="AC212" i="2"/>
  <c r="AB212" i="2"/>
  <c r="AA212" i="2"/>
  <c r="Z212" i="2"/>
  <c r="AC211" i="2"/>
  <c r="AB211" i="2"/>
  <c r="AA211" i="2"/>
  <c r="Z211" i="2"/>
  <c r="AC210" i="2"/>
  <c r="AB210" i="2"/>
  <c r="AA210" i="2"/>
  <c r="Z210" i="2"/>
  <c r="AC209" i="2"/>
  <c r="AB209" i="2"/>
  <c r="AA209" i="2"/>
  <c r="Z209" i="2"/>
  <c r="AC208" i="2"/>
  <c r="AB208" i="2"/>
  <c r="AA208" i="2"/>
  <c r="Z208" i="2"/>
  <c r="AC207" i="2"/>
  <c r="AB207" i="2"/>
  <c r="AA207" i="2"/>
  <c r="Z207" i="2"/>
  <c r="AC206" i="2"/>
  <c r="AB206" i="2"/>
  <c r="AA206" i="2"/>
  <c r="Z206" i="2"/>
  <c r="AC205" i="2"/>
  <c r="AB205" i="2"/>
  <c r="AA205" i="2"/>
  <c r="Z205" i="2"/>
  <c r="AC204" i="2"/>
  <c r="AB204" i="2"/>
  <c r="AA204" i="2"/>
  <c r="Z204" i="2"/>
  <c r="AC203" i="2"/>
  <c r="AB203" i="2"/>
  <c r="AA203" i="2"/>
  <c r="Z203" i="2"/>
  <c r="AC202" i="2"/>
  <c r="AB202" i="2"/>
  <c r="AA202" i="2"/>
  <c r="Z202" i="2"/>
  <c r="AC201" i="2"/>
  <c r="AB201" i="2"/>
  <c r="AA201" i="2"/>
  <c r="Z201" i="2"/>
  <c r="AC200" i="2"/>
  <c r="AB200" i="2"/>
  <c r="AA200" i="2"/>
  <c r="Z200" i="2"/>
  <c r="AC199" i="2"/>
  <c r="AB199" i="2"/>
  <c r="AA199" i="2"/>
  <c r="Z199" i="2"/>
  <c r="AC198" i="2"/>
  <c r="AB198" i="2"/>
  <c r="AA198" i="2"/>
  <c r="Z198" i="2"/>
  <c r="AC197" i="2"/>
  <c r="AB197" i="2"/>
  <c r="AA197" i="2"/>
  <c r="Z197" i="2"/>
  <c r="AC196" i="2"/>
  <c r="AB196" i="2"/>
  <c r="AA196" i="2"/>
  <c r="Z196" i="2"/>
  <c r="AC195" i="2"/>
  <c r="AB195" i="2"/>
  <c r="AA195" i="2"/>
  <c r="Z195" i="2"/>
  <c r="AC194" i="2"/>
  <c r="AB194" i="2"/>
  <c r="AA194" i="2"/>
  <c r="Z194" i="2"/>
  <c r="AC193" i="2"/>
  <c r="AB193" i="2"/>
  <c r="AA193" i="2"/>
  <c r="Z193" i="2"/>
  <c r="AC192" i="2"/>
  <c r="AB192" i="2"/>
  <c r="AA192" i="2"/>
  <c r="Z192" i="2"/>
  <c r="AC191" i="2"/>
  <c r="AB191" i="2"/>
  <c r="AA191" i="2"/>
  <c r="Z191" i="2"/>
  <c r="AC190" i="2"/>
  <c r="AB190" i="2"/>
  <c r="AA190" i="2"/>
  <c r="Z190" i="2"/>
  <c r="AC189" i="2"/>
  <c r="AB189" i="2"/>
  <c r="AA189" i="2"/>
  <c r="Z189" i="2"/>
  <c r="AC188" i="2"/>
  <c r="AB188" i="2"/>
  <c r="AA188" i="2"/>
  <c r="Z188" i="2"/>
  <c r="AC187" i="2"/>
  <c r="AB187" i="2"/>
  <c r="AA187" i="2"/>
  <c r="Z187" i="2"/>
  <c r="AC186" i="2"/>
  <c r="AB186" i="2"/>
  <c r="AA186" i="2"/>
  <c r="Z186" i="2"/>
  <c r="AC185" i="2"/>
  <c r="AB185" i="2"/>
  <c r="AA185" i="2"/>
  <c r="Z185" i="2"/>
  <c r="AC184" i="2"/>
  <c r="AB184" i="2"/>
  <c r="AA184" i="2"/>
  <c r="Z184" i="2"/>
  <c r="AC183" i="2"/>
  <c r="AB183" i="2"/>
  <c r="AA183" i="2"/>
  <c r="Z183" i="2"/>
  <c r="AC182" i="2"/>
  <c r="AB182" i="2"/>
  <c r="AA182" i="2"/>
  <c r="Z182" i="2"/>
  <c r="AC181" i="2"/>
  <c r="AB181" i="2"/>
  <c r="AA181" i="2"/>
  <c r="Z181" i="2"/>
  <c r="AC180" i="2"/>
  <c r="AB180" i="2"/>
  <c r="AA180" i="2"/>
  <c r="Z180" i="2"/>
  <c r="AC179" i="2"/>
  <c r="AB179" i="2"/>
  <c r="AA179" i="2"/>
  <c r="Z179" i="2"/>
  <c r="AC178" i="2"/>
  <c r="AB178" i="2"/>
  <c r="AA178" i="2"/>
  <c r="Z178" i="2"/>
  <c r="AC177" i="2"/>
  <c r="AB177" i="2"/>
  <c r="AA177" i="2"/>
  <c r="Z177" i="2"/>
  <c r="AC176" i="2"/>
  <c r="AB176" i="2"/>
  <c r="AA176" i="2"/>
  <c r="Z176" i="2"/>
  <c r="AC175" i="2"/>
  <c r="AB175" i="2"/>
  <c r="AA175" i="2"/>
  <c r="Z175" i="2"/>
  <c r="AC174" i="2"/>
  <c r="AB174" i="2"/>
  <c r="AA174" i="2"/>
  <c r="Z174" i="2"/>
  <c r="AC173" i="2"/>
  <c r="AB173" i="2"/>
  <c r="AA173" i="2"/>
  <c r="Z173" i="2"/>
  <c r="AC172" i="2"/>
  <c r="AB172" i="2"/>
  <c r="AA172" i="2"/>
  <c r="Z172" i="2"/>
  <c r="AC171" i="2"/>
  <c r="AB171" i="2"/>
  <c r="AA171" i="2"/>
  <c r="Z171" i="2"/>
  <c r="AC170" i="2"/>
  <c r="AB170" i="2"/>
  <c r="AA170" i="2"/>
  <c r="Z170" i="2"/>
  <c r="AC169" i="2"/>
  <c r="AB169" i="2"/>
  <c r="AA169" i="2"/>
  <c r="Z169" i="2"/>
  <c r="AC168" i="2"/>
  <c r="AB168" i="2"/>
  <c r="AA168" i="2"/>
  <c r="Z168" i="2"/>
  <c r="AC167" i="2"/>
  <c r="AB167" i="2"/>
  <c r="AA167" i="2"/>
  <c r="Z167" i="2"/>
  <c r="AC166" i="2"/>
  <c r="AB166" i="2"/>
  <c r="AA166" i="2"/>
  <c r="Z166" i="2"/>
  <c r="AC165" i="2"/>
  <c r="AB165" i="2"/>
  <c r="AA165" i="2"/>
  <c r="Z165" i="2"/>
  <c r="AC164" i="2"/>
  <c r="AB164" i="2"/>
  <c r="AA164" i="2"/>
  <c r="Z164" i="2"/>
  <c r="AC163" i="2"/>
  <c r="AB163" i="2"/>
  <c r="AA163" i="2"/>
  <c r="Z163" i="2"/>
  <c r="AC162" i="2"/>
  <c r="AB162" i="2"/>
  <c r="AA162" i="2"/>
  <c r="Z162" i="2"/>
  <c r="AC161" i="2"/>
  <c r="AB161" i="2"/>
  <c r="AA161" i="2"/>
  <c r="Z161" i="2"/>
  <c r="AC160" i="2"/>
  <c r="AB160" i="2"/>
  <c r="AA160" i="2"/>
  <c r="Z160" i="2"/>
  <c r="AC159" i="2"/>
  <c r="AB159" i="2"/>
  <c r="AA159" i="2"/>
  <c r="Z159" i="2"/>
  <c r="AC158" i="2"/>
  <c r="AB158" i="2"/>
  <c r="AA158" i="2"/>
  <c r="Z158" i="2"/>
  <c r="AC157" i="2"/>
  <c r="AB157" i="2"/>
  <c r="AA157" i="2"/>
  <c r="Z157" i="2"/>
  <c r="AC156" i="2"/>
  <c r="AB156" i="2"/>
  <c r="AA156" i="2"/>
  <c r="Z156" i="2"/>
  <c r="AC155" i="2"/>
  <c r="AB155" i="2"/>
  <c r="AA155" i="2"/>
  <c r="Z155" i="2"/>
  <c r="AC154" i="2"/>
  <c r="AB154" i="2"/>
  <c r="AA154" i="2"/>
  <c r="Z154" i="2"/>
  <c r="AC153" i="2"/>
  <c r="AB153" i="2"/>
  <c r="AA153" i="2"/>
  <c r="Z153" i="2"/>
  <c r="AC152" i="2"/>
  <c r="AB152" i="2"/>
  <c r="AA152" i="2"/>
  <c r="Z152" i="2"/>
  <c r="AC151" i="2"/>
  <c r="AB151" i="2"/>
  <c r="AA151" i="2"/>
  <c r="Z151" i="2"/>
  <c r="AC150" i="2"/>
  <c r="AB150" i="2"/>
  <c r="AA150" i="2"/>
  <c r="Z150" i="2"/>
  <c r="AC149" i="2"/>
  <c r="AB149" i="2"/>
  <c r="AA149" i="2"/>
  <c r="Z149" i="2"/>
  <c r="AC148" i="2"/>
  <c r="AB148" i="2"/>
  <c r="AA148" i="2"/>
  <c r="Z148" i="2"/>
  <c r="AC147" i="2"/>
  <c r="AB147" i="2"/>
  <c r="AA147" i="2"/>
  <c r="Z147" i="2"/>
  <c r="AC146" i="2"/>
  <c r="AB146" i="2"/>
  <c r="AA146" i="2"/>
  <c r="Z146" i="2"/>
  <c r="AC145" i="2"/>
  <c r="AB145" i="2"/>
  <c r="AA145" i="2"/>
  <c r="Z145" i="2"/>
  <c r="AC144" i="2"/>
  <c r="AB144" i="2"/>
  <c r="AA144" i="2"/>
  <c r="Z144" i="2"/>
  <c r="AC143" i="2"/>
  <c r="AB143" i="2"/>
  <c r="AA143" i="2"/>
  <c r="Z143" i="2"/>
  <c r="AC142" i="2"/>
  <c r="AB142" i="2"/>
  <c r="AA142" i="2"/>
  <c r="Z142" i="2"/>
  <c r="AC141" i="2"/>
  <c r="AB141" i="2"/>
  <c r="AA141" i="2"/>
  <c r="Z141" i="2"/>
  <c r="AC140" i="2"/>
  <c r="AB140" i="2"/>
  <c r="AA140" i="2"/>
  <c r="Z140" i="2"/>
  <c r="AC139" i="2"/>
  <c r="AB139" i="2"/>
  <c r="AA139" i="2"/>
  <c r="Z139" i="2"/>
  <c r="AC138" i="2"/>
  <c r="AB138" i="2"/>
  <c r="AA138" i="2"/>
  <c r="Z138" i="2"/>
  <c r="AC137" i="2"/>
  <c r="AB137" i="2"/>
  <c r="AA137" i="2"/>
  <c r="Z137" i="2"/>
  <c r="AC136" i="2"/>
  <c r="AB136" i="2"/>
  <c r="AA136" i="2"/>
  <c r="Z136" i="2"/>
  <c r="AC135" i="2"/>
  <c r="AB135" i="2"/>
  <c r="AA135" i="2"/>
  <c r="Z135" i="2"/>
  <c r="AC134" i="2"/>
  <c r="AB134" i="2"/>
  <c r="AA134" i="2"/>
  <c r="Z134" i="2"/>
  <c r="AC133" i="2"/>
  <c r="AB133" i="2"/>
  <c r="AA133" i="2"/>
  <c r="Z133" i="2"/>
  <c r="AC132" i="2"/>
  <c r="AB132" i="2"/>
  <c r="AA132" i="2"/>
  <c r="Z132" i="2"/>
  <c r="AC131" i="2"/>
  <c r="AB131" i="2"/>
  <c r="AA131" i="2"/>
  <c r="Z131" i="2"/>
  <c r="AC130" i="2"/>
  <c r="AB130" i="2"/>
  <c r="AA130" i="2"/>
  <c r="Z130" i="2"/>
  <c r="AC129" i="2"/>
  <c r="AB129" i="2"/>
  <c r="AA129" i="2"/>
  <c r="Z129" i="2"/>
  <c r="AC128" i="2"/>
  <c r="AB128" i="2"/>
  <c r="AA128" i="2"/>
  <c r="Z128" i="2"/>
  <c r="AC127" i="2"/>
  <c r="AB127" i="2"/>
  <c r="AA127" i="2"/>
  <c r="Z127" i="2"/>
  <c r="AC126" i="2"/>
  <c r="AB126" i="2"/>
  <c r="AA126" i="2"/>
  <c r="Z126" i="2"/>
  <c r="AC125" i="2"/>
  <c r="AB125" i="2"/>
  <c r="AA125" i="2"/>
  <c r="Z125" i="2"/>
  <c r="AC124" i="2"/>
  <c r="AB124" i="2"/>
  <c r="AA124" i="2"/>
  <c r="Z124" i="2"/>
  <c r="AC123" i="2"/>
  <c r="AB123" i="2"/>
  <c r="AA123" i="2"/>
  <c r="Z123" i="2"/>
  <c r="AC122" i="2"/>
  <c r="AB122" i="2"/>
  <c r="AA122" i="2"/>
  <c r="Z122" i="2"/>
  <c r="AC121" i="2"/>
  <c r="AB121" i="2"/>
  <c r="AA121" i="2"/>
  <c r="Z121" i="2"/>
  <c r="AC120" i="2"/>
  <c r="AB120" i="2"/>
  <c r="AA120" i="2"/>
  <c r="Z120" i="2"/>
  <c r="AC119" i="2"/>
  <c r="AB119" i="2"/>
  <c r="AA119" i="2"/>
  <c r="Z119" i="2"/>
  <c r="AC118" i="2"/>
  <c r="AB118" i="2"/>
  <c r="AA118" i="2"/>
  <c r="Z118" i="2"/>
  <c r="AC117" i="2"/>
  <c r="AB117" i="2"/>
  <c r="AA117" i="2"/>
  <c r="Z117" i="2"/>
  <c r="AC116" i="2"/>
  <c r="AB116" i="2"/>
  <c r="AA116" i="2"/>
  <c r="Z116" i="2"/>
  <c r="AC115" i="2"/>
  <c r="AB115" i="2"/>
  <c r="AA115" i="2"/>
  <c r="Z115" i="2"/>
  <c r="AC114" i="2"/>
  <c r="AB114" i="2"/>
  <c r="AA114" i="2"/>
  <c r="Z114" i="2"/>
  <c r="AC113" i="2"/>
  <c r="AB113" i="2"/>
  <c r="AA113" i="2"/>
  <c r="Z113" i="2"/>
  <c r="AC112" i="2"/>
  <c r="AB112" i="2"/>
  <c r="AA112" i="2"/>
  <c r="Z112" i="2"/>
  <c r="AC111" i="2"/>
  <c r="AB111" i="2"/>
  <c r="AA111" i="2"/>
  <c r="Z111" i="2"/>
  <c r="AC110" i="2"/>
  <c r="AB110" i="2"/>
  <c r="AA110" i="2"/>
  <c r="Z110" i="2"/>
  <c r="AC109" i="2"/>
  <c r="AB109" i="2"/>
  <c r="AA109" i="2"/>
  <c r="Z109" i="2"/>
  <c r="AC108" i="2"/>
  <c r="AB108" i="2"/>
  <c r="AA108" i="2"/>
  <c r="Z108" i="2"/>
  <c r="AC107" i="2"/>
  <c r="AB107" i="2"/>
  <c r="AA107" i="2"/>
  <c r="Z107" i="2"/>
  <c r="AC106" i="2"/>
  <c r="AB106" i="2"/>
  <c r="AA106" i="2"/>
  <c r="Z106" i="2"/>
  <c r="AC105" i="2"/>
  <c r="AB105" i="2"/>
  <c r="AA105" i="2"/>
  <c r="Z105" i="2"/>
  <c r="AC104" i="2"/>
  <c r="AB104" i="2"/>
  <c r="AA104" i="2"/>
  <c r="Z104" i="2"/>
  <c r="AC103" i="2"/>
  <c r="AB103" i="2"/>
  <c r="AA103" i="2"/>
  <c r="Z103" i="2"/>
  <c r="AC102" i="2"/>
  <c r="AB102" i="2"/>
  <c r="AA102" i="2"/>
  <c r="Z102" i="2"/>
  <c r="AC101" i="2"/>
  <c r="AB101" i="2"/>
  <c r="AA101" i="2"/>
  <c r="Z101" i="2"/>
  <c r="AC100" i="2"/>
  <c r="AB100" i="2"/>
  <c r="AA100" i="2"/>
  <c r="Z100" i="2"/>
  <c r="AC99" i="2"/>
  <c r="AB99" i="2"/>
  <c r="AA99" i="2"/>
  <c r="Z99" i="2"/>
  <c r="AC98" i="2"/>
  <c r="AB98" i="2"/>
  <c r="AA98" i="2"/>
  <c r="Z98" i="2"/>
  <c r="AC97" i="2"/>
  <c r="AB97" i="2"/>
  <c r="AA97" i="2"/>
  <c r="Z97" i="2"/>
  <c r="AC96" i="2"/>
  <c r="AB96" i="2"/>
  <c r="AA96" i="2"/>
  <c r="Z96" i="2"/>
  <c r="AC95" i="2"/>
  <c r="AB95" i="2"/>
  <c r="AA95" i="2"/>
  <c r="Z95" i="2"/>
  <c r="AC94" i="2"/>
  <c r="AB94" i="2"/>
  <c r="AA94" i="2"/>
  <c r="Z94" i="2"/>
  <c r="AC93" i="2"/>
  <c r="AB93" i="2"/>
  <c r="AA93" i="2"/>
  <c r="Z93" i="2"/>
  <c r="AC92" i="2"/>
  <c r="AB92" i="2"/>
  <c r="AA92" i="2"/>
  <c r="Z92" i="2"/>
  <c r="AC91" i="2"/>
  <c r="AB91" i="2"/>
  <c r="AA91" i="2"/>
  <c r="Z91" i="2"/>
  <c r="AC90" i="2"/>
  <c r="AB90" i="2"/>
  <c r="AA90" i="2"/>
  <c r="Z90" i="2"/>
  <c r="AC89" i="2"/>
  <c r="AB89" i="2"/>
  <c r="AA89" i="2"/>
  <c r="Z89" i="2"/>
  <c r="AC88" i="2"/>
  <c r="AB88" i="2"/>
  <c r="AA88" i="2"/>
  <c r="Z88" i="2"/>
  <c r="AC87" i="2"/>
  <c r="AB87" i="2"/>
  <c r="AA87" i="2"/>
  <c r="Z87" i="2"/>
  <c r="AC86" i="2"/>
  <c r="AB86" i="2"/>
  <c r="AA86" i="2"/>
  <c r="Z86" i="2"/>
  <c r="AC85" i="2"/>
  <c r="AB85" i="2"/>
  <c r="AA85" i="2"/>
  <c r="Z85" i="2"/>
  <c r="AC84" i="2"/>
  <c r="AB84" i="2"/>
  <c r="AA84" i="2"/>
  <c r="Z84" i="2"/>
  <c r="AC83" i="2"/>
  <c r="AB83" i="2"/>
  <c r="AA83" i="2"/>
  <c r="Z83" i="2"/>
  <c r="AC82" i="2"/>
  <c r="AB82" i="2"/>
  <c r="AA82" i="2"/>
  <c r="Z82" i="2"/>
  <c r="AC81" i="2"/>
  <c r="AB81" i="2"/>
  <c r="AA81" i="2"/>
  <c r="Z81" i="2"/>
  <c r="AC80" i="2"/>
  <c r="AB80" i="2"/>
  <c r="AA80" i="2"/>
  <c r="Z80" i="2"/>
  <c r="AC79" i="2"/>
  <c r="AB79" i="2"/>
  <c r="AA79" i="2"/>
  <c r="Z79" i="2"/>
  <c r="AC78" i="2"/>
  <c r="AB78" i="2"/>
  <c r="AA78" i="2"/>
  <c r="Z78" i="2"/>
  <c r="AC77" i="2"/>
  <c r="AB77" i="2"/>
  <c r="AA77" i="2"/>
  <c r="Z77" i="2"/>
  <c r="AC76" i="2"/>
  <c r="AB76" i="2"/>
  <c r="AA76" i="2"/>
  <c r="Z76" i="2"/>
  <c r="AC75" i="2"/>
  <c r="AB75" i="2"/>
  <c r="AA75" i="2"/>
  <c r="Z75" i="2"/>
  <c r="AC74" i="2"/>
  <c r="AB74" i="2"/>
  <c r="AA74" i="2"/>
  <c r="Z74" i="2"/>
  <c r="AC73" i="2"/>
  <c r="AB73" i="2"/>
  <c r="AA73" i="2"/>
  <c r="Z73" i="2"/>
  <c r="AC72" i="2"/>
  <c r="AB72" i="2"/>
  <c r="AA72" i="2"/>
  <c r="Z72" i="2"/>
  <c r="AC71" i="2"/>
  <c r="AB71" i="2"/>
  <c r="AA71" i="2"/>
  <c r="Z71" i="2"/>
  <c r="AC70" i="2"/>
  <c r="AB70" i="2"/>
  <c r="AA70" i="2"/>
  <c r="Z70" i="2"/>
  <c r="AC69" i="2"/>
  <c r="AB69" i="2"/>
  <c r="AA69" i="2"/>
  <c r="Z69" i="2"/>
  <c r="AC68" i="2"/>
  <c r="AB68" i="2"/>
  <c r="AA68" i="2"/>
  <c r="Z68" i="2"/>
  <c r="AC67" i="2"/>
  <c r="AB67" i="2"/>
  <c r="AA67" i="2"/>
  <c r="Z67" i="2"/>
  <c r="AC66" i="2"/>
  <c r="AB66" i="2"/>
  <c r="AA66" i="2"/>
  <c r="Z66" i="2"/>
  <c r="AC65" i="2"/>
  <c r="AB65" i="2"/>
  <c r="AA65" i="2"/>
  <c r="Z65" i="2"/>
  <c r="AC64" i="2"/>
  <c r="AB64" i="2"/>
  <c r="AA64" i="2"/>
  <c r="Z64" i="2"/>
  <c r="AC63" i="2"/>
  <c r="AB63" i="2"/>
  <c r="AA63" i="2"/>
  <c r="Z63" i="2"/>
  <c r="AC62" i="2"/>
  <c r="AB62" i="2"/>
  <c r="AA62" i="2"/>
  <c r="Z62" i="2"/>
  <c r="AC61" i="2"/>
  <c r="AB61" i="2"/>
  <c r="AA61" i="2"/>
  <c r="Z61" i="2"/>
  <c r="AC60" i="2"/>
  <c r="AB60" i="2"/>
  <c r="AA60" i="2"/>
  <c r="Z60" i="2"/>
  <c r="AC59" i="2"/>
  <c r="AB59" i="2"/>
  <c r="AA59" i="2"/>
  <c r="Z59" i="2"/>
  <c r="AC58" i="2"/>
  <c r="AB58" i="2"/>
  <c r="AA58" i="2"/>
  <c r="Z58" i="2"/>
  <c r="AC57" i="2"/>
  <c r="AB57" i="2"/>
  <c r="AA57" i="2"/>
  <c r="Z57" i="2"/>
  <c r="AC56" i="2"/>
  <c r="AB56" i="2"/>
  <c r="AA56" i="2"/>
  <c r="Z56" i="2"/>
  <c r="AC55" i="2"/>
  <c r="AB55" i="2"/>
  <c r="AA55" i="2"/>
  <c r="Z55" i="2"/>
  <c r="AC54" i="2"/>
  <c r="AB54" i="2"/>
  <c r="AA54" i="2"/>
  <c r="Z54" i="2"/>
  <c r="AC53" i="2"/>
  <c r="AB53" i="2"/>
  <c r="AA53" i="2"/>
  <c r="Z53" i="2"/>
  <c r="AC52" i="2"/>
  <c r="AB52" i="2"/>
  <c r="AA52" i="2"/>
  <c r="Z52" i="2"/>
  <c r="AC51" i="2"/>
  <c r="AB51" i="2"/>
  <c r="AA51" i="2"/>
  <c r="Z51" i="2"/>
  <c r="AC50" i="2"/>
  <c r="AB50" i="2"/>
  <c r="AA50" i="2"/>
  <c r="Z50" i="2"/>
  <c r="AC49" i="2"/>
  <c r="AB49" i="2"/>
  <c r="AA49" i="2"/>
  <c r="Z49" i="2"/>
  <c r="AC48" i="2"/>
  <c r="AB48" i="2"/>
  <c r="AA48" i="2"/>
  <c r="Z48" i="2"/>
  <c r="AC47" i="2"/>
  <c r="AB47" i="2"/>
  <c r="AA47" i="2"/>
  <c r="Z47" i="2"/>
  <c r="AC46" i="2"/>
  <c r="AB46" i="2"/>
  <c r="AA46" i="2"/>
  <c r="Z46" i="2"/>
  <c r="AC45" i="2"/>
  <c r="AB45" i="2"/>
  <c r="AA45" i="2"/>
  <c r="Z45" i="2"/>
  <c r="AC44" i="2"/>
  <c r="AB44" i="2"/>
  <c r="AA44" i="2"/>
  <c r="Z44" i="2"/>
  <c r="AC43" i="2"/>
  <c r="AB43" i="2"/>
  <c r="AA43" i="2"/>
  <c r="Z43" i="2"/>
  <c r="AC42" i="2"/>
  <c r="AB42" i="2"/>
  <c r="AA42" i="2"/>
  <c r="Z42" i="2"/>
  <c r="AC41" i="2"/>
  <c r="AB41" i="2"/>
  <c r="AA41" i="2"/>
  <c r="Z41" i="2"/>
  <c r="AC40" i="2"/>
  <c r="AB40" i="2"/>
  <c r="AA40" i="2"/>
  <c r="Z40" i="2"/>
  <c r="AC39" i="2"/>
  <c r="AB39" i="2"/>
  <c r="AA39" i="2"/>
  <c r="Z39" i="2"/>
  <c r="AC38" i="2"/>
  <c r="AB38" i="2"/>
  <c r="AA38" i="2"/>
  <c r="Z38" i="2"/>
  <c r="AC37" i="2"/>
  <c r="AB37" i="2"/>
  <c r="AA37" i="2"/>
  <c r="Z37" i="2"/>
  <c r="AC36" i="2"/>
  <c r="AB36" i="2"/>
  <c r="AA36" i="2"/>
  <c r="Z36" i="2"/>
  <c r="AC35" i="2"/>
  <c r="AB35" i="2"/>
  <c r="AA35" i="2"/>
  <c r="Z35" i="2"/>
  <c r="AC34" i="2"/>
  <c r="AB34" i="2"/>
  <c r="AA34" i="2"/>
  <c r="Z34" i="2"/>
  <c r="AC33" i="2"/>
  <c r="AB33" i="2"/>
  <c r="AA33" i="2"/>
  <c r="Z33" i="2"/>
  <c r="AC32" i="2"/>
  <c r="AB32" i="2"/>
  <c r="AA32" i="2"/>
  <c r="Z32" i="2"/>
  <c r="AC31" i="2"/>
  <c r="AB31" i="2"/>
  <c r="AA31" i="2"/>
  <c r="Z31" i="2"/>
  <c r="AC30" i="2"/>
  <c r="AB30" i="2"/>
  <c r="AA30" i="2"/>
  <c r="Z30" i="2"/>
  <c r="AC29" i="2"/>
  <c r="AB29" i="2"/>
  <c r="AA29" i="2"/>
  <c r="Z29" i="2"/>
  <c r="AC28" i="2"/>
  <c r="AB28" i="2"/>
  <c r="AA28" i="2"/>
  <c r="Z28" i="2"/>
  <c r="AC27" i="2"/>
  <c r="AB27" i="2"/>
  <c r="AA27" i="2"/>
  <c r="Z27" i="2"/>
  <c r="AC26" i="2"/>
  <c r="AB26" i="2"/>
  <c r="AA26" i="2"/>
  <c r="Z26" i="2"/>
  <c r="AC25" i="2"/>
  <c r="AB25" i="2"/>
  <c r="AA25" i="2"/>
  <c r="Z25" i="2"/>
  <c r="AC24" i="2"/>
  <c r="AB24" i="2"/>
  <c r="AA24" i="2"/>
  <c r="Z24" i="2"/>
  <c r="AC23" i="2"/>
  <c r="AB23" i="2"/>
  <c r="AA23" i="2"/>
  <c r="Z23" i="2"/>
  <c r="AC22" i="2"/>
  <c r="AB22" i="2"/>
  <c r="AA22" i="2"/>
  <c r="Z22" i="2"/>
  <c r="AC21" i="2"/>
  <c r="AB21" i="2"/>
  <c r="AA21" i="2"/>
  <c r="Z21" i="2"/>
  <c r="AC20" i="2"/>
  <c r="AB20" i="2"/>
  <c r="AA20" i="2"/>
  <c r="Z20" i="2"/>
  <c r="AC19" i="2"/>
  <c r="AB19" i="2"/>
  <c r="AA19" i="2"/>
  <c r="Z19" i="2"/>
  <c r="AC18" i="2"/>
  <c r="AB18" i="2"/>
  <c r="AA18" i="2"/>
  <c r="Z18" i="2"/>
  <c r="AC17" i="2"/>
  <c r="AB17" i="2"/>
  <c r="AA17" i="2"/>
  <c r="Z17" i="2"/>
  <c r="AC16" i="2"/>
  <c r="AB16" i="2"/>
  <c r="AA16" i="2"/>
  <c r="Z16" i="2"/>
  <c r="AC15" i="2"/>
  <c r="AB15" i="2"/>
  <c r="AA15" i="2"/>
  <c r="Z15" i="2"/>
  <c r="AC14" i="2"/>
  <c r="AB14" i="2"/>
  <c r="AA14" i="2"/>
  <c r="Z14" i="2"/>
  <c r="AC13" i="2"/>
  <c r="AB13" i="2"/>
  <c r="AA13" i="2"/>
  <c r="Z13" i="2"/>
  <c r="AC12" i="2"/>
  <c r="AB12" i="2"/>
  <c r="AA12" i="2"/>
  <c r="Z12" i="2"/>
  <c r="AC11" i="2"/>
  <c r="AB11" i="2"/>
  <c r="AA11" i="2"/>
  <c r="Z11" i="2"/>
  <c r="AC10" i="2"/>
  <c r="AB10" i="2"/>
  <c r="AA10" i="2"/>
  <c r="Z10" i="2"/>
  <c r="AC9" i="2"/>
  <c r="AB9" i="2"/>
  <c r="AA9" i="2"/>
  <c r="Z9" i="2"/>
  <c r="AC8" i="2"/>
  <c r="AB8" i="2"/>
  <c r="AA8" i="2"/>
  <c r="Z8" i="2"/>
  <c r="AC7" i="2"/>
  <c r="AB7" i="2"/>
  <c r="AA7" i="2"/>
  <c r="Z7" i="2"/>
  <c r="AC6" i="2"/>
  <c r="AB6" i="2"/>
  <c r="AA6" i="2"/>
  <c r="Z6" i="2"/>
  <c r="AC5" i="2"/>
  <c r="AB5" i="2"/>
  <c r="AA5" i="2"/>
  <c r="Z5" i="2"/>
  <c r="AC4" i="2"/>
  <c r="AB4" i="2"/>
  <c r="AA4" i="2"/>
  <c r="Z4" i="2"/>
  <c r="AC3" i="2"/>
  <c r="AB3" i="2"/>
  <c r="AA3" i="2"/>
  <c r="Z3" i="2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3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AB71" i="1"/>
  <c r="AB7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A237" i="1"/>
  <c r="AA238" i="1"/>
  <c r="AB3" i="1"/>
  <c r="Z237" i="1"/>
  <c r="Z238" i="1"/>
</calcChain>
</file>

<file path=xl/sharedStrings.xml><?xml version="1.0" encoding="utf-8"?>
<sst xmlns="http://schemas.openxmlformats.org/spreadsheetml/2006/main" count="69" uniqueCount="11">
  <si>
    <t>坐标X</t>
    <phoneticPr fontId="1" type="noConversion"/>
  </si>
  <si>
    <t>坐标Y</t>
    <phoneticPr fontId="1" type="noConversion"/>
  </si>
  <si>
    <t>点号</t>
    <phoneticPr fontId="1" type="noConversion"/>
  </si>
  <si>
    <t>Mag匹配</t>
    <phoneticPr fontId="1" type="noConversion"/>
  </si>
  <si>
    <t>EKF</t>
    <phoneticPr fontId="1" type="noConversion"/>
  </si>
  <si>
    <t>EKF+HDE</t>
    <phoneticPr fontId="1" type="noConversion"/>
  </si>
  <si>
    <t>坐标1</t>
    <phoneticPr fontId="1" type="noConversion"/>
  </si>
  <si>
    <t>坐标2</t>
    <phoneticPr fontId="1" type="noConversion"/>
  </si>
  <si>
    <t>坐标3</t>
    <phoneticPr fontId="1" type="noConversion"/>
  </si>
  <si>
    <t>Gyr</t>
    <phoneticPr fontId="1" type="noConversion"/>
  </si>
  <si>
    <t>坐标4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</si>
</sst>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"/>
    <numFmt numFmtId="178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/>
    <xf numFmtId="176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/>
    <xf numFmtId="176" fontId="0" fillId="0" borderId="1" xfId="0" applyNumberFormat="1" applyBorder="1"/>
    <xf numFmtId="176" fontId="0" fillId="0" borderId="0" xfId="0" applyNumberFormat="1"/>
    <xf numFmtId="177" fontId="0" fillId="0" borderId="1" xfId="0" applyNumberFormat="1" applyBorder="1"/>
    <xf numFmtId="178" fontId="0" fillId="2" borderId="1" xfId="0" applyNumberFormat="1" applyFill="1" applyBorder="1" applyAlignment="1">
      <alignment horizontal="center"/>
    </xf>
    <xf numFmtId="178" fontId="0" fillId="0" borderId="1" xfId="0" applyNumberFormat="1" applyBorder="1"/>
    <xf numFmtId="178" fontId="0" fillId="0" borderId="0" xfId="0" applyNumberFormat="1"/>
    <xf numFmtId="178" fontId="0" fillId="2" borderId="0" xfId="0" applyNumberFormat="1" applyFill="1" applyBorder="1" applyAlignment="1">
      <alignment horizontal="center"/>
    </xf>
    <xf numFmtId="178" fontId="0" fillId="0" borderId="0" xfId="0" applyNumberFormat="1" applyBorder="1"/>
    <xf numFmtId="178" fontId="0" fillId="3" borderId="0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Border="1"/>
    <xf numFmtId="0" fontId="0" fillId="0" borderId="0" xfId="0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238"/>
  <sheetViews>
    <sheetView topLeftCell="B200" workbookViewId="0">
      <selection activeCell="U3" sqref="U3:X238"/>
    </sheetView>
  </sheetViews>
  <sheetFormatPr defaultRowHeight="14.25" x14ac:dyDescent="0.2"/>
  <cols>
    <col min="3" max="4" width="9" style="7"/>
    <col min="5" max="5" width="11" style="7" bestFit="1" customWidth="1"/>
    <col min="8" max="9" width="9" style="11"/>
    <col min="21" max="21" width="8.875" customWidth="1"/>
    <col min="26" max="26" width="36.375" customWidth="1"/>
    <col min="27" max="27" width="34.5" customWidth="1"/>
    <col min="28" max="29" width="33.75" customWidth="1"/>
  </cols>
  <sheetData>
    <row r="1" spans="2:29" x14ac:dyDescent="0.2">
      <c r="B1" s="15"/>
      <c r="C1" s="15"/>
      <c r="D1" s="15"/>
      <c r="E1" s="15"/>
      <c r="G1" s="16"/>
      <c r="H1" s="16"/>
      <c r="I1" s="16"/>
    </row>
    <row r="2" spans="2:29" x14ac:dyDescent="0.2">
      <c r="B2" s="2" t="s">
        <v>2</v>
      </c>
      <c r="C2" s="4" t="s">
        <v>0</v>
      </c>
      <c r="D2" s="4" t="s">
        <v>1</v>
      </c>
      <c r="E2" s="5" t="s">
        <v>3</v>
      </c>
      <c r="G2" s="9" t="s">
        <v>0</v>
      </c>
      <c r="H2" s="9" t="s">
        <v>0</v>
      </c>
      <c r="I2" s="1" t="s">
        <v>5</v>
      </c>
      <c r="K2" s="9" t="s">
        <v>0</v>
      </c>
      <c r="L2" s="9" t="s">
        <v>1</v>
      </c>
      <c r="M2" s="9" t="s">
        <v>4</v>
      </c>
      <c r="N2" s="14"/>
      <c r="O2" s="9" t="s">
        <v>0</v>
      </c>
      <c r="P2" s="9" t="s">
        <v>1</v>
      </c>
      <c r="Q2" s="9" t="s">
        <v>9</v>
      </c>
      <c r="R2" s="12"/>
      <c r="S2" s="12"/>
      <c r="T2" s="12"/>
      <c r="U2" s="12"/>
      <c r="V2" s="12"/>
      <c r="W2" s="12"/>
      <c r="X2" s="12"/>
      <c r="Z2" s="12" t="s">
        <v>6</v>
      </c>
      <c r="AA2" s="12" t="s">
        <v>7</v>
      </c>
      <c r="AB2" s="12" t="s">
        <v>8</v>
      </c>
      <c r="AC2" s="12" t="s">
        <v>10</v>
      </c>
    </row>
    <row r="3" spans="2:29" x14ac:dyDescent="0.2">
      <c r="B3" s="3">
        <v>1</v>
      </c>
      <c r="C3" s="6">
        <v>0</v>
      </c>
      <c r="D3" s="6">
        <v>0</v>
      </c>
      <c r="E3" s="8">
        <v>1.5707963267948934</v>
      </c>
      <c r="F3" s="7"/>
      <c r="G3" s="10">
        <v>0</v>
      </c>
      <c r="H3" s="10">
        <v>0</v>
      </c>
      <c r="I3" s="10">
        <v>1.50431282104012</v>
      </c>
      <c r="K3" s="10">
        <v>0</v>
      </c>
      <c r="L3" s="10">
        <v>0</v>
      </c>
      <c r="M3" s="10">
        <v>1.50431282104012</v>
      </c>
      <c r="N3" s="13"/>
      <c r="O3" s="10">
        <v>0</v>
      </c>
      <c r="P3" s="10">
        <v>0</v>
      </c>
      <c r="Q3" s="10">
        <v>1.5201917038806601</v>
      </c>
      <c r="R3" s="13"/>
      <c r="S3" s="8">
        <v>1.5707963267948934</v>
      </c>
      <c r="T3" s="17"/>
      <c r="U3" s="13">
        <f>(E3-S3)*180/PI()</f>
        <v>0</v>
      </c>
      <c r="V3" s="13">
        <f>(I3-S3)*180/PI()</f>
        <v>-3.8092242869822401</v>
      </c>
      <c r="W3" s="13">
        <f>(M3-S3)*180/PI()</f>
        <v>-3.8092242869822401</v>
      </c>
      <c r="X3" s="13">
        <f>(Q3-S3)*180/PI()</f>
        <v>-2.8994313168365902</v>
      </c>
      <c r="Z3" t="str">
        <f>C3&amp;","&amp;D3</f>
        <v>0,0</v>
      </c>
      <c r="AA3" t="str">
        <f>G3&amp;","&amp;H3</f>
        <v>0,0</v>
      </c>
      <c r="AB3" t="str">
        <f>K3&amp;","&amp;L3</f>
        <v>0,0</v>
      </c>
      <c r="AC3" t="str">
        <f>O3&amp;","&amp;P3</f>
        <v>0,0</v>
      </c>
    </row>
    <row r="4" spans="2:29" x14ac:dyDescent="0.2">
      <c r="B4" s="3">
        <v>2</v>
      </c>
      <c r="C4" s="6">
        <v>0.62686567164179097</v>
      </c>
      <c r="D4" s="6">
        <v>7.6768903827147503E-17</v>
      </c>
      <c r="E4" s="8">
        <v>1.5707963267948934</v>
      </c>
      <c r="F4" s="7"/>
      <c r="G4" s="10">
        <v>0.62548079100375198</v>
      </c>
      <c r="H4" s="10">
        <v>4.16455323922627E-2</v>
      </c>
      <c r="I4" s="10">
        <v>1.50431282104012</v>
      </c>
      <c r="K4" s="10">
        <v>0.62548079100375198</v>
      </c>
      <c r="L4" s="10">
        <v>4.16455323922627E-2</v>
      </c>
      <c r="M4" s="10">
        <v>1.58145735490383</v>
      </c>
      <c r="N4" s="13"/>
      <c r="O4" s="10">
        <v>0.62606319537571797</v>
      </c>
      <c r="P4" s="10">
        <v>3.1708763439454002E-2</v>
      </c>
      <c r="Q4" s="10">
        <v>1.57239835341904</v>
      </c>
      <c r="R4" s="13"/>
      <c r="S4" s="8">
        <v>1.5707963267948934</v>
      </c>
      <c r="T4" s="17"/>
      <c r="U4" s="13">
        <f t="shared" ref="U4:U67" si="0">E4-S4</f>
        <v>0</v>
      </c>
      <c r="V4" s="13">
        <f t="shared" ref="V4:V67" si="1">(I4-S4)*180/PI()</f>
        <v>-3.8092242869822401</v>
      </c>
      <c r="W4" s="13">
        <f t="shared" ref="W4:W67" si="2">(M4-S4)*180/PI()</f>
        <v>0.61083191591240116</v>
      </c>
      <c r="X4" s="13">
        <f t="shared" ref="X4:X67" si="3">(Q4-S4)*180/PI()</f>
        <v>9.1789364231188122E-2</v>
      </c>
      <c r="Z4" t="str">
        <f t="shared" ref="Z4:Z67" si="4">C4&amp;","&amp;D4</f>
        <v>0.626865671641791,7.67689038271475E-17</v>
      </c>
      <c r="AA4" t="str">
        <f t="shared" ref="AA4:AA67" si="5">G4&amp;","&amp;H4</f>
        <v>0.625480791003752,0.0416455323922627</v>
      </c>
      <c r="AB4" t="str">
        <f t="shared" ref="AB4:AB67" si="6">K4&amp;","&amp;L4</f>
        <v>0.625480791003752,0.0416455323922627</v>
      </c>
      <c r="AC4" t="str">
        <f t="shared" ref="AC4:AC67" si="7">O4&amp;","&amp;P4</f>
        <v>0.626063195375718,0.031708763439454</v>
      </c>
    </row>
    <row r="5" spans="2:29" x14ac:dyDescent="0.2">
      <c r="B5" s="3">
        <v>3</v>
      </c>
      <c r="C5" s="6">
        <v>1.2537313432835799</v>
      </c>
      <c r="D5" s="6">
        <v>1.5353780765429501E-16</v>
      </c>
      <c r="E5" s="8">
        <v>1.5707963267948934</v>
      </c>
      <c r="F5" s="7"/>
      <c r="G5" s="10">
        <v>1.2509615820075</v>
      </c>
      <c r="H5" s="10">
        <v>8.3291064784525401E-2</v>
      </c>
      <c r="I5" s="10">
        <v>1.58145735490383</v>
      </c>
      <c r="K5" s="10">
        <v>1.2523108389840401</v>
      </c>
      <c r="L5" s="10">
        <v>3.4962626441797803E-2</v>
      </c>
      <c r="M5" s="10">
        <v>1.6355973758011999</v>
      </c>
      <c r="N5" s="13"/>
      <c r="O5" s="10">
        <v>1.25292806259566</v>
      </c>
      <c r="P5" s="10">
        <v>3.07045083732909E-2</v>
      </c>
      <c r="Q5" s="10">
        <v>1.6191555349832301</v>
      </c>
      <c r="R5" s="13"/>
      <c r="S5" s="8">
        <v>1.5707963267948934</v>
      </c>
      <c r="T5" s="17"/>
      <c r="U5" s="13">
        <f t="shared" si="0"/>
        <v>0</v>
      </c>
      <c r="V5" s="13">
        <f t="shared" si="1"/>
        <v>0.61083191591240116</v>
      </c>
      <c r="W5" s="13">
        <f t="shared" si="2"/>
        <v>3.7128266160817773</v>
      </c>
      <c r="X5" s="13">
        <f t="shared" si="3"/>
        <v>2.7707785297861793</v>
      </c>
      <c r="Z5" t="str">
        <f t="shared" si="4"/>
        <v>1.25373134328358,1.53537807654295E-16</v>
      </c>
      <c r="AA5" t="str">
        <f t="shared" si="5"/>
        <v>1.2509615820075,0.0832910647845254</v>
      </c>
      <c r="AB5" t="str">
        <f t="shared" si="6"/>
        <v>1.25231083898404,0.0349626264417978</v>
      </c>
      <c r="AC5" t="str">
        <f t="shared" si="7"/>
        <v>1.25292806259566,0.0307045083732909</v>
      </c>
    </row>
    <row r="6" spans="2:29" x14ac:dyDescent="0.2">
      <c r="B6" s="3">
        <v>4</v>
      </c>
      <c r="C6" s="6">
        <v>1.8805970149253699</v>
      </c>
      <c r="D6" s="6">
        <v>2.30306711481443E-16</v>
      </c>
      <c r="E6" s="8">
        <v>1.5707963267948934</v>
      </c>
      <c r="F6" s="7"/>
      <c r="G6" s="10">
        <v>1.8777916299877899</v>
      </c>
      <c r="H6" s="10">
        <v>7.6608158834060497E-2</v>
      </c>
      <c r="I6" s="10">
        <v>1.75174689655618</v>
      </c>
      <c r="K6" s="10">
        <v>1.8778608115000099</v>
      </c>
      <c r="L6" s="10">
        <v>-5.6305031268990896E-3</v>
      </c>
      <c r="M6" s="10">
        <v>1.75174689655618</v>
      </c>
      <c r="N6" s="13"/>
      <c r="O6" s="10">
        <v>1.8790608789665399</v>
      </c>
      <c r="P6" s="10">
        <v>4.0159520676347898E-4</v>
      </c>
      <c r="Q6" s="10">
        <v>1.7296539321686599</v>
      </c>
      <c r="R6" s="13"/>
      <c r="S6" s="8">
        <v>1.5707963267948934</v>
      </c>
      <c r="T6" s="17"/>
      <c r="U6" s="13">
        <f t="shared" si="0"/>
        <v>0</v>
      </c>
      <c r="V6" s="13">
        <f t="shared" si="1"/>
        <v>10.367703947809296</v>
      </c>
      <c r="W6" s="13">
        <f t="shared" si="2"/>
        <v>10.367703947809296</v>
      </c>
      <c r="X6" s="13">
        <f t="shared" si="3"/>
        <v>9.1018703314715648</v>
      </c>
      <c r="Z6" t="str">
        <f t="shared" si="4"/>
        <v>1.88059701492537,2.30306711481443E-16</v>
      </c>
      <c r="AA6" t="str">
        <f t="shared" si="5"/>
        <v>1.87779162998779,0.0766081588340605</v>
      </c>
      <c r="AB6" t="str">
        <f t="shared" si="6"/>
        <v>1.87786081150001,-0.00563050312689909</v>
      </c>
      <c r="AC6" t="str">
        <f t="shared" si="7"/>
        <v>1.87906087896654,0.000401595206763479</v>
      </c>
    </row>
    <row r="7" spans="2:29" x14ac:dyDescent="0.2">
      <c r="B7" s="3">
        <v>5</v>
      </c>
      <c r="C7" s="6">
        <v>2.5074626865671599</v>
      </c>
      <c r="D7" s="6">
        <v>3.0707561530859001E-16</v>
      </c>
      <c r="E7" s="8">
        <v>1.5707963267948934</v>
      </c>
      <c r="F7" s="7"/>
      <c r="G7" s="10">
        <v>2.4944225085751901</v>
      </c>
      <c r="H7" s="10">
        <v>-3.6205536502303501E-2</v>
      </c>
      <c r="I7" s="10">
        <v>1.5586676590042301</v>
      </c>
      <c r="K7" s="10">
        <v>2.4944916900874099</v>
      </c>
      <c r="L7" s="10">
        <v>-0.118444198463263</v>
      </c>
      <c r="M7" s="10">
        <v>1.5586676590042301</v>
      </c>
      <c r="N7" s="13"/>
      <c r="O7" s="10">
        <v>2.4980334613970698</v>
      </c>
      <c r="P7" s="10">
        <v>-9.8762473296884007E-2</v>
      </c>
      <c r="Q7" s="10">
        <v>1.56070482858281</v>
      </c>
      <c r="R7" s="13"/>
      <c r="S7" s="8">
        <v>1.5707963267948934</v>
      </c>
      <c r="T7" s="17"/>
      <c r="U7" s="13">
        <f t="shared" si="0"/>
        <v>0</v>
      </c>
      <c r="V7" s="13">
        <f t="shared" si="1"/>
        <v>-0.69492147552127059</v>
      </c>
      <c r="W7" s="13">
        <f t="shared" si="2"/>
        <v>-0.69492147552127059</v>
      </c>
      <c r="X7" s="13">
        <f t="shared" si="3"/>
        <v>-0.57820025651619722</v>
      </c>
      <c r="Z7" t="str">
        <f t="shared" si="4"/>
        <v>2.50746268656716,3.0707561530859E-16</v>
      </c>
      <c r="AA7" t="str">
        <f t="shared" si="5"/>
        <v>2.49442250857519,-0.0362055365023035</v>
      </c>
      <c r="AB7" t="str">
        <f t="shared" si="6"/>
        <v>2.49449169008741,-0.118444198463263</v>
      </c>
      <c r="AC7" t="str">
        <f t="shared" si="7"/>
        <v>2.49803346139707,-0.098762473296884</v>
      </c>
    </row>
    <row r="8" spans="2:29" x14ac:dyDescent="0.2">
      <c r="B8" s="3">
        <v>6</v>
      </c>
      <c r="C8" s="6">
        <v>3.1343283582089598</v>
      </c>
      <c r="D8" s="6">
        <v>3.8384451913573801E-16</v>
      </c>
      <c r="E8" s="8">
        <v>1.5707963267948934</v>
      </c>
      <c r="F8" s="7"/>
      <c r="G8" s="10">
        <v>3.1212420733757802</v>
      </c>
      <c r="H8" s="10">
        <v>-2.8602677427355099E-2</v>
      </c>
      <c r="I8" s="10">
        <v>1.6674895392753999</v>
      </c>
      <c r="K8" s="10">
        <v>3.121311254888</v>
      </c>
      <c r="L8" s="10">
        <v>-0.110841339388315</v>
      </c>
      <c r="M8" s="10">
        <v>1.6674895392753999</v>
      </c>
      <c r="N8" s="13"/>
      <c r="O8" s="10">
        <v>3.1248672138312501</v>
      </c>
      <c r="P8" s="10">
        <v>-9.2436566863535297E-2</v>
      </c>
      <c r="Q8" s="10">
        <v>1.65609095475755</v>
      </c>
      <c r="R8" s="13"/>
      <c r="S8" s="8">
        <v>1.5707963267948934</v>
      </c>
      <c r="T8" s="17"/>
      <c r="U8" s="13">
        <f t="shared" si="0"/>
        <v>0</v>
      </c>
      <c r="V8" s="13">
        <f t="shared" si="1"/>
        <v>5.5401129826947164</v>
      </c>
      <c r="W8" s="13">
        <f t="shared" si="2"/>
        <v>5.5401129826947164</v>
      </c>
      <c r="X8" s="13">
        <f t="shared" si="3"/>
        <v>4.8870221973987542</v>
      </c>
      <c r="Z8" t="str">
        <f t="shared" si="4"/>
        <v>3.13432835820896,3.83844519135738E-16</v>
      </c>
      <c r="AA8" t="str">
        <f t="shared" si="5"/>
        <v>3.12124207337578,-0.0286026774273551</v>
      </c>
      <c r="AB8" t="str">
        <f t="shared" si="6"/>
        <v>3.121311254888,-0.110841339388315</v>
      </c>
      <c r="AC8" t="str">
        <f t="shared" si="7"/>
        <v>3.12486721383125,-0.0924365668635353</v>
      </c>
    </row>
    <row r="9" spans="2:29" x14ac:dyDescent="0.2">
      <c r="B9" s="3">
        <v>7</v>
      </c>
      <c r="C9" s="6">
        <v>3.76119402985075</v>
      </c>
      <c r="D9" s="6">
        <v>4.6061342296288502E-16</v>
      </c>
      <c r="E9" s="8">
        <v>1.5707963267948934</v>
      </c>
      <c r="F9" s="7"/>
      <c r="G9" s="10">
        <v>3.74517956298385</v>
      </c>
      <c r="H9" s="10">
        <v>-8.9121925146518705E-2</v>
      </c>
      <c r="I9" s="10">
        <v>1.6674895392753999</v>
      </c>
      <c r="K9" s="10">
        <v>3.7452487444960698</v>
      </c>
      <c r="L9" s="10">
        <v>-0.17136058710747801</v>
      </c>
      <c r="M9" s="10">
        <v>1.6175496443331701</v>
      </c>
      <c r="N9" s="13"/>
      <c r="O9" s="10">
        <v>3.7494539893097398</v>
      </c>
      <c r="P9" s="10">
        <v>-0.14584003285866201</v>
      </c>
      <c r="Q9" s="10">
        <v>1.6147158067617899</v>
      </c>
      <c r="R9" s="13"/>
      <c r="S9" s="8">
        <v>1.5707963267948934</v>
      </c>
      <c r="T9" s="17"/>
      <c r="U9" s="13">
        <f t="shared" si="0"/>
        <v>0</v>
      </c>
      <c r="V9" s="13">
        <f t="shared" si="1"/>
        <v>5.5401129826947164</v>
      </c>
      <c r="W9" s="13">
        <f t="shared" si="2"/>
        <v>2.6787677731782211</v>
      </c>
      <c r="X9" s="13">
        <f t="shared" si="3"/>
        <v>2.5164008405125373</v>
      </c>
      <c r="Z9" t="str">
        <f t="shared" si="4"/>
        <v>3.76119402985075,4.60613422962885E-16</v>
      </c>
      <c r="AA9" t="str">
        <f t="shared" si="5"/>
        <v>3.74517956298385,-0.0891219251465187</v>
      </c>
      <c r="AB9" t="str">
        <f t="shared" si="6"/>
        <v>3.74524874449607,-0.171360587107478</v>
      </c>
      <c r="AC9" t="str">
        <f t="shared" si="7"/>
        <v>3.74945398930974,-0.145840032858662</v>
      </c>
    </row>
    <row r="10" spans="2:29" x14ac:dyDescent="0.2">
      <c r="B10" s="3">
        <v>8</v>
      </c>
      <c r="C10" s="6">
        <v>4.3880597014925398</v>
      </c>
      <c r="D10" s="6">
        <v>5.3738232679003302E-16</v>
      </c>
      <c r="E10" s="8">
        <v>1.5707963267948934</v>
      </c>
      <c r="F10" s="7"/>
      <c r="G10" s="10">
        <v>4.3691170525919203</v>
      </c>
      <c r="H10" s="10">
        <v>-0.14964117286568199</v>
      </c>
      <c r="I10" s="10">
        <v>1.6175496443331701</v>
      </c>
      <c r="K10" s="10">
        <v>4.3714294166489402</v>
      </c>
      <c r="L10" s="10">
        <v>-0.20065796079682599</v>
      </c>
      <c r="M10" s="10">
        <v>1.5886528817044601</v>
      </c>
      <c r="N10" s="13"/>
      <c r="O10" s="10">
        <v>4.3757151710371502</v>
      </c>
      <c r="P10" s="10">
        <v>-0.17336279696965501</v>
      </c>
      <c r="Q10" s="10">
        <v>1.57541623357294</v>
      </c>
      <c r="R10" s="13"/>
      <c r="S10" s="8">
        <v>1.5707963267948934</v>
      </c>
      <c r="T10" s="17"/>
      <c r="U10" s="13">
        <f t="shared" si="0"/>
        <v>0</v>
      </c>
      <c r="V10" s="13">
        <f t="shared" si="1"/>
        <v>2.6787677731782211</v>
      </c>
      <c r="W10" s="13">
        <f t="shared" si="2"/>
        <v>1.0231052329617762</v>
      </c>
      <c r="X10" s="13">
        <f t="shared" si="3"/>
        <v>0.2647011601259513</v>
      </c>
      <c r="Z10" t="str">
        <f t="shared" si="4"/>
        <v>4.38805970149254,5.37382326790033E-16</v>
      </c>
      <c r="AA10" t="str">
        <f t="shared" si="5"/>
        <v>4.36911705259192,-0.149641172865682</v>
      </c>
      <c r="AB10" t="str">
        <f t="shared" si="6"/>
        <v>4.37142941664894,-0.200657960796826</v>
      </c>
      <c r="AC10" t="str">
        <f t="shared" si="7"/>
        <v>4.37571517103715,-0.173362796969655</v>
      </c>
    </row>
    <row r="11" spans="2:29" x14ac:dyDescent="0.2">
      <c r="B11" s="3">
        <v>9</v>
      </c>
      <c r="C11" s="6">
        <v>5.0149253731343304</v>
      </c>
      <c r="D11" s="6">
        <v>6.1415123061718003E-16</v>
      </c>
      <c r="E11" s="8">
        <v>1.5707963267948934</v>
      </c>
      <c r="F11" s="7"/>
      <c r="G11" s="10">
        <v>4.9952977247447903</v>
      </c>
      <c r="H11" s="10">
        <v>-0.17893854655503</v>
      </c>
      <c r="I11" s="10">
        <v>1.5886528817044601</v>
      </c>
      <c r="K11" s="10">
        <v>4.9981951508325499</v>
      </c>
      <c r="L11" s="10">
        <v>-0.21185102723086</v>
      </c>
      <c r="M11" s="10">
        <v>1.6606771771853901</v>
      </c>
      <c r="N11" s="13"/>
      <c r="O11" s="10">
        <v>5.0025741529249901</v>
      </c>
      <c r="P11" s="10">
        <v>-0.176258847632972</v>
      </c>
      <c r="Q11" s="10">
        <v>1.6501128806402201</v>
      </c>
      <c r="R11" s="13"/>
      <c r="S11" s="8">
        <v>1.5707963267948934</v>
      </c>
      <c r="T11" s="17"/>
      <c r="U11" s="13">
        <f t="shared" si="0"/>
        <v>0</v>
      </c>
      <c r="V11" s="13">
        <f t="shared" si="1"/>
        <v>1.0231052329617762</v>
      </c>
      <c r="W11" s="13">
        <f t="shared" si="2"/>
        <v>5.1497933864222354</v>
      </c>
      <c r="X11" s="13">
        <f t="shared" si="3"/>
        <v>4.5445037808593574</v>
      </c>
      <c r="Z11" t="str">
        <f t="shared" si="4"/>
        <v>5.01492537313433,6.1415123061718E-16</v>
      </c>
      <c r="AA11" t="str">
        <f t="shared" si="5"/>
        <v>4.99529772474479,-0.17893854655503</v>
      </c>
      <c r="AB11" t="str">
        <f t="shared" si="6"/>
        <v>4.99819515083255,-0.21185102723086</v>
      </c>
      <c r="AC11" t="str">
        <f t="shared" si="7"/>
        <v>5.00257415292499,-0.176258847632972</v>
      </c>
    </row>
    <row r="12" spans="2:29" x14ac:dyDescent="0.2">
      <c r="B12" s="3">
        <v>10</v>
      </c>
      <c r="C12" s="6">
        <v>5.6417910447761201</v>
      </c>
      <c r="D12" s="6">
        <v>6.9092013444432802E-16</v>
      </c>
      <c r="E12" s="8">
        <v>1.5707963267948934</v>
      </c>
      <c r="F12" s="7"/>
      <c r="G12" s="10">
        <v>5.6220634589284</v>
      </c>
      <c r="H12" s="10">
        <v>-0.190131612989064</v>
      </c>
      <c r="I12" s="10">
        <v>1.54965891967601</v>
      </c>
      <c r="K12" s="10">
        <v>5.62253043840464</v>
      </c>
      <c r="L12" s="10">
        <v>-0.26811841543392501</v>
      </c>
      <c r="M12" s="10">
        <v>1.54965891967601</v>
      </c>
      <c r="N12" s="13"/>
      <c r="O12" s="10">
        <v>5.62746901586865</v>
      </c>
      <c r="P12" s="10">
        <v>-0.225927555584189</v>
      </c>
      <c r="Q12" s="10">
        <v>1.5495244262342001</v>
      </c>
      <c r="R12" s="13"/>
      <c r="S12" s="8">
        <v>1.5707963267948934</v>
      </c>
      <c r="T12" s="17"/>
      <c r="U12" s="13">
        <f t="shared" si="0"/>
        <v>0</v>
      </c>
      <c r="V12" s="13">
        <f t="shared" si="1"/>
        <v>-1.2110842177618031</v>
      </c>
      <c r="W12" s="13">
        <f t="shared" si="2"/>
        <v>-1.2110842177618031</v>
      </c>
      <c r="X12" s="13">
        <f t="shared" si="3"/>
        <v>-1.2187901243497008</v>
      </c>
      <c r="Z12" t="str">
        <f t="shared" si="4"/>
        <v>5.64179104477612,6.90920134444328E-16</v>
      </c>
      <c r="AA12" t="str">
        <f t="shared" si="5"/>
        <v>5.6220634589284,-0.190131612989064</v>
      </c>
      <c r="AB12" t="str">
        <f t="shared" si="6"/>
        <v>5.62253043840464,-0.268118415433925</v>
      </c>
      <c r="AC12" t="str">
        <f t="shared" si="7"/>
        <v>5.62746901586865,-0.225927555584189</v>
      </c>
    </row>
    <row r="13" spans="2:29" x14ac:dyDescent="0.2">
      <c r="B13" s="3">
        <v>11</v>
      </c>
      <c r="C13" s="6">
        <v>6.2686567164179099</v>
      </c>
      <c r="D13" s="6">
        <v>7.6768903827147503E-16</v>
      </c>
      <c r="E13" s="8">
        <v>1.5707963267948934</v>
      </c>
      <c r="F13" s="7"/>
      <c r="G13" s="10">
        <v>6.2487890971337503</v>
      </c>
      <c r="H13" s="10">
        <v>-0.176882284741331</v>
      </c>
      <c r="I13" s="10">
        <v>1.66369872415682</v>
      </c>
      <c r="K13" s="10">
        <v>6.2492560766099796</v>
      </c>
      <c r="L13" s="10">
        <v>-0.254869087186192</v>
      </c>
      <c r="M13" s="10">
        <v>1.66369872415682</v>
      </c>
      <c r="N13" s="13"/>
      <c r="O13" s="10">
        <v>6.2541928664579798</v>
      </c>
      <c r="P13" s="10">
        <v>-0.21259393696838899</v>
      </c>
      <c r="Q13" s="10">
        <v>1.6471458422793199</v>
      </c>
      <c r="R13" s="13"/>
      <c r="S13" s="8">
        <v>1.5707963267948934</v>
      </c>
      <c r="T13" s="17"/>
      <c r="U13" s="13">
        <f t="shared" si="0"/>
        <v>0</v>
      </c>
      <c r="V13" s="13">
        <f t="shared" si="1"/>
        <v>5.3229152754857028</v>
      </c>
      <c r="W13" s="13">
        <f t="shared" si="2"/>
        <v>5.3229152754857028</v>
      </c>
      <c r="X13" s="13">
        <f t="shared" si="3"/>
        <v>4.3745050051263643</v>
      </c>
      <c r="Z13" t="str">
        <f t="shared" si="4"/>
        <v>6.26865671641791,7.67689038271475E-16</v>
      </c>
      <c r="AA13" t="str">
        <f t="shared" si="5"/>
        <v>6.24878909713375,-0.176882284741331</v>
      </c>
      <c r="AB13" t="str">
        <f t="shared" si="6"/>
        <v>6.24925607660998,-0.254869087186192</v>
      </c>
      <c r="AC13" t="str">
        <f t="shared" si="7"/>
        <v>6.25419286645798,-0.212593936968389</v>
      </c>
    </row>
    <row r="14" spans="2:29" x14ac:dyDescent="0.2">
      <c r="B14" s="3">
        <v>12</v>
      </c>
      <c r="C14" s="6">
        <v>6.8955223880596996</v>
      </c>
      <c r="D14" s="6">
        <v>8.4445794209862303E-16</v>
      </c>
      <c r="E14" s="8">
        <v>1.5707963267948934</v>
      </c>
      <c r="F14" s="7"/>
      <c r="G14" s="10">
        <v>6.8729515203989502</v>
      </c>
      <c r="H14" s="10">
        <v>-0.23503587161794601</v>
      </c>
      <c r="I14" s="10">
        <v>1.66369872415682</v>
      </c>
      <c r="K14" s="10">
        <v>6.8734184998751902</v>
      </c>
      <c r="L14" s="10">
        <v>-0.31302267406280598</v>
      </c>
      <c r="M14" s="10">
        <v>1.5938606418936601</v>
      </c>
      <c r="N14" s="13"/>
      <c r="O14" s="10">
        <v>6.8792323475755897</v>
      </c>
      <c r="P14" s="10">
        <v>-0.26040834198555501</v>
      </c>
      <c r="Q14" s="10">
        <v>1.57769169315024</v>
      </c>
      <c r="R14" s="13"/>
      <c r="S14" s="8">
        <v>1.5707963267948934</v>
      </c>
      <c r="T14" s="17"/>
      <c r="U14" s="13">
        <f t="shared" si="0"/>
        <v>0</v>
      </c>
      <c r="V14" s="13">
        <f t="shared" si="1"/>
        <v>5.3229152754857028</v>
      </c>
      <c r="W14" s="13">
        <f t="shared" si="2"/>
        <v>1.3214879125191872</v>
      </c>
      <c r="X14" s="13">
        <f t="shared" si="3"/>
        <v>0.39507539035786482</v>
      </c>
      <c r="Z14" t="str">
        <f t="shared" si="4"/>
        <v>6.8955223880597,8.44457942098623E-16</v>
      </c>
      <c r="AA14" t="str">
        <f t="shared" si="5"/>
        <v>6.87295152039895,-0.235035871617946</v>
      </c>
      <c r="AB14" t="str">
        <f t="shared" si="6"/>
        <v>6.87341849987519,-0.313022674062806</v>
      </c>
      <c r="AC14" t="str">
        <f t="shared" si="7"/>
        <v>6.87923234757559,-0.260408341985555</v>
      </c>
    </row>
    <row r="15" spans="2:29" x14ac:dyDescent="0.2">
      <c r="B15" s="3">
        <v>13</v>
      </c>
      <c r="C15" s="6">
        <v>7.5223880597015</v>
      </c>
      <c r="D15" s="6">
        <v>9.2122684592577004E-16</v>
      </c>
      <c r="E15" s="8">
        <v>1.5707963267948934</v>
      </c>
      <c r="F15" s="7"/>
      <c r="G15" s="10">
        <v>7.4971139436641598</v>
      </c>
      <c r="H15" s="10">
        <v>-0.29318945849456002</v>
      </c>
      <c r="I15" s="10">
        <v>1.5938606418936601</v>
      </c>
      <c r="K15" s="10">
        <v>7.5001174443522496</v>
      </c>
      <c r="L15" s="10">
        <v>-0.32747961959946498</v>
      </c>
      <c r="M15" s="10">
        <v>1.5188455510530099</v>
      </c>
      <c r="N15" s="13"/>
      <c r="O15" s="10">
        <v>7.5060831167746302</v>
      </c>
      <c r="P15" s="10">
        <v>-0.26473077619445701</v>
      </c>
      <c r="Q15" s="10">
        <v>1.5228799183895001</v>
      </c>
      <c r="R15" s="13"/>
      <c r="S15" s="8">
        <v>1.5707963267948934</v>
      </c>
      <c r="T15" s="17"/>
      <c r="U15" s="13">
        <f t="shared" si="0"/>
        <v>0</v>
      </c>
      <c r="V15" s="13">
        <f t="shared" si="1"/>
        <v>1.3214879125191872</v>
      </c>
      <c r="W15" s="13">
        <f t="shared" si="2"/>
        <v>-2.9765601924405463</v>
      </c>
      <c r="X15" s="13">
        <f t="shared" si="3"/>
        <v>-2.7454079710542221</v>
      </c>
      <c r="Z15" t="str">
        <f t="shared" si="4"/>
        <v>7.5223880597015,9.2122684592577E-16</v>
      </c>
      <c r="AA15" t="str">
        <f t="shared" si="5"/>
        <v>7.49711394366416,-0.29318945849456</v>
      </c>
      <c r="AB15" t="str">
        <f t="shared" si="6"/>
        <v>7.50011744435225,-0.327479619599465</v>
      </c>
      <c r="AC15" t="str">
        <f t="shared" si="7"/>
        <v>7.50608311677463,-0.264730776194457</v>
      </c>
    </row>
    <row r="16" spans="2:29" x14ac:dyDescent="0.2">
      <c r="B16" s="3">
        <v>14</v>
      </c>
      <c r="C16" s="6">
        <v>8.1492537313432898</v>
      </c>
      <c r="D16" s="6">
        <v>9.9799574975291794E-16</v>
      </c>
      <c r="E16" s="8">
        <v>1.5707963267948934</v>
      </c>
      <c r="F16" s="7"/>
      <c r="G16" s="10">
        <v>8.1238128881412308</v>
      </c>
      <c r="H16" s="10">
        <v>-0.30764640403121901</v>
      </c>
      <c r="I16" s="10">
        <v>1.5188455510530099</v>
      </c>
      <c r="K16" s="10">
        <v>8.1261373876462404</v>
      </c>
      <c r="L16" s="10">
        <v>-0.29492810840396499</v>
      </c>
      <c r="M16" s="10">
        <v>1.6169525355009899</v>
      </c>
      <c r="N16" s="13"/>
      <c r="O16" s="10">
        <v>8.1322292898850002</v>
      </c>
      <c r="P16" s="10">
        <v>-0.23470511746481901</v>
      </c>
      <c r="Q16" s="10">
        <v>1.6098156073634</v>
      </c>
      <c r="R16" s="13"/>
      <c r="S16" s="8">
        <v>1.5707963267948934</v>
      </c>
      <c r="T16" s="17"/>
      <c r="U16" s="13">
        <f t="shared" si="0"/>
        <v>0</v>
      </c>
      <c r="V16" s="13">
        <f t="shared" si="1"/>
        <v>-2.9765601924405463</v>
      </c>
      <c r="W16" s="13">
        <f t="shared" si="2"/>
        <v>2.6445559571843154</v>
      </c>
      <c r="X16" s="13">
        <f t="shared" si="3"/>
        <v>2.2356400962122498</v>
      </c>
      <c r="Z16" t="str">
        <f t="shared" si="4"/>
        <v>8.14925373134329,9.97995749752918E-16</v>
      </c>
      <c r="AA16" t="str">
        <f t="shared" si="5"/>
        <v>8.12381288814123,-0.307646404031219</v>
      </c>
      <c r="AB16" t="str">
        <f t="shared" si="6"/>
        <v>8.12613738764624,-0.294928108403965</v>
      </c>
      <c r="AC16" t="str">
        <f t="shared" si="7"/>
        <v>8.132229289885,-0.234705117464819</v>
      </c>
    </row>
    <row r="17" spans="2:29" x14ac:dyDescent="0.2">
      <c r="B17" s="3">
        <v>15</v>
      </c>
      <c r="C17" s="6">
        <v>8.7761194029850795</v>
      </c>
      <c r="D17" s="6">
        <v>1.07476465358007E-15</v>
      </c>
      <c r="E17" s="8">
        <v>1.5707963267948934</v>
      </c>
      <c r="F17" s="7"/>
      <c r="G17" s="10">
        <v>8.7498328314352101</v>
      </c>
      <c r="H17" s="10">
        <v>-0.27509489283571897</v>
      </c>
      <c r="I17" s="10">
        <v>1.5059677196887999</v>
      </c>
      <c r="K17" s="10">
        <v>8.7523354418897608</v>
      </c>
      <c r="L17" s="10">
        <v>-0.32385157888281901</v>
      </c>
      <c r="M17" s="10">
        <v>1.5059677196887999</v>
      </c>
      <c r="N17" s="13"/>
      <c r="O17" s="10">
        <v>8.7586178192424597</v>
      </c>
      <c r="P17" s="10">
        <v>-0.25915875875418098</v>
      </c>
      <c r="Q17" s="10">
        <v>1.4976110914387399</v>
      </c>
      <c r="R17" s="13"/>
      <c r="S17" s="8">
        <v>1.5707963267948934</v>
      </c>
      <c r="T17" s="17"/>
      <c r="U17" s="13">
        <f t="shared" si="0"/>
        <v>0</v>
      </c>
      <c r="V17" s="13">
        <f t="shared" si="1"/>
        <v>-3.7144055788909758</v>
      </c>
      <c r="W17" s="13">
        <f t="shared" si="2"/>
        <v>-3.7144055788909758</v>
      </c>
      <c r="X17" s="13">
        <f t="shared" si="3"/>
        <v>-4.1932051085792086</v>
      </c>
      <c r="Z17" t="str">
        <f t="shared" si="4"/>
        <v>8.77611940298508,1.07476465358007E-15</v>
      </c>
      <c r="AA17" t="str">
        <f t="shared" si="5"/>
        <v>8.74983283143521,-0.275094892835719</v>
      </c>
      <c r="AB17" t="str">
        <f t="shared" si="6"/>
        <v>8.75233544188976,-0.323851578882819</v>
      </c>
      <c r="AC17" t="str">
        <f t="shared" si="7"/>
        <v>8.75861781924246,-0.259158758754181</v>
      </c>
    </row>
    <row r="18" spans="2:29" x14ac:dyDescent="0.2">
      <c r="B18" s="3">
        <v>16</v>
      </c>
      <c r="C18" s="6">
        <v>9.4029850746268693</v>
      </c>
      <c r="D18" s="6">
        <v>1.15153355740721E-15</v>
      </c>
      <c r="E18" s="8">
        <v>1.5707963267948934</v>
      </c>
      <c r="F18" s="7"/>
      <c r="G18" s="10">
        <v>9.3753816850441307</v>
      </c>
      <c r="H18" s="10">
        <v>-0.23448452431387101</v>
      </c>
      <c r="I18" s="10">
        <v>1.5059677196887999</v>
      </c>
      <c r="K18" s="10">
        <v>9.3778842954986796</v>
      </c>
      <c r="L18" s="10">
        <v>-0.283241210360971</v>
      </c>
      <c r="M18" s="10">
        <v>1.5364960619012</v>
      </c>
      <c r="N18" s="13"/>
      <c r="O18" s="10">
        <v>9.3838054691252104</v>
      </c>
      <c r="P18" s="10">
        <v>-0.21332238982068899</v>
      </c>
      <c r="Q18" s="10">
        <v>1.5242410033242999</v>
      </c>
      <c r="R18" s="13"/>
      <c r="S18" s="8">
        <v>1.5707963267948934</v>
      </c>
      <c r="T18" s="17"/>
      <c r="U18" s="13">
        <f t="shared" si="0"/>
        <v>0</v>
      </c>
      <c r="V18" s="13">
        <f t="shared" si="1"/>
        <v>-3.7144055788909758</v>
      </c>
      <c r="W18" s="13">
        <f t="shared" si="2"/>
        <v>-1.9652604145893764</v>
      </c>
      <c r="X18" s="13">
        <f t="shared" si="3"/>
        <v>-2.6674235487313545</v>
      </c>
      <c r="Z18" t="str">
        <f t="shared" si="4"/>
        <v>9.40298507462687,1.15153355740721E-15</v>
      </c>
      <c r="AA18" t="str">
        <f t="shared" si="5"/>
        <v>9.37538168504413,-0.234484524313871</v>
      </c>
      <c r="AB18" t="str">
        <f t="shared" si="6"/>
        <v>9.37788429549868,-0.283241210360971</v>
      </c>
      <c r="AC18" t="str">
        <f t="shared" si="7"/>
        <v>9.38380546912521,-0.213322389820689</v>
      </c>
    </row>
    <row r="19" spans="2:29" x14ac:dyDescent="0.2">
      <c r="B19" s="3">
        <v>17</v>
      </c>
      <c r="C19" s="6">
        <v>10.0298507462687</v>
      </c>
      <c r="D19" s="6">
        <v>1.2283024612343601E-15</v>
      </c>
      <c r="E19" s="8">
        <v>1.5707963267948934</v>
      </c>
      <c r="F19" s="7"/>
      <c r="G19" s="10">
        <v>10.000930538653</v>
      </c>
      <c r="H19" s="10">
        <v>-0.193874155792023</v>
      </c>
      <c r="I19" s="10">
        <v>1.5364960619012</v>
      </c>
      <c r="K19" s="10">
        <v>10.004381247000101</v>
      </c>
      <c r="L19" s="10">
        <v>-0.26174376766905699</v>
      </c>
      <c r="M19" s="10">
        <v>1.5829016618254299</v>
      </c>
      <c r="N19" s="13"/>
      <c r="O19" s="10">
        <v>10.009991929710599</v>
      </c>
      <c r="P19" s="10">
        <v>-0.18414899676316401</v>
      </c>
      <c r="Q19" s="10">
        <v>1.57765915509036</v>
      </c>
      <c r="R19" s="13"/>
      <c r="S19" s="8">
        <v>1.5707963267948934</v>
      </c>
      <c r="T19" s="17"/>
      <c r="U19" s="13">
        <f t="shared" si="0"/>
        <v>0</v>
      </c>
      <c r="V19" s="13">
        <f t="shared" si="1"/>
        <v>-1.9652604145893764</v>
      </c>
      <c r="W19" s="13">
        <f t="shared" si="2"/>
        <v>0.6935846068416085</v>
      </c>
      <c r="X19" s="13">
        <f t="shared" si="3"/>
        <v>0.39321109685319594</v>
      </c>
      <c r="Z19" t="str">
        <f t="shared" si="4"/>
        <v>10.0298507462687,1.22830246123436E-15</v>
      </c>
      <c r="AA19" t="str">
        <f t="shared" si="5"/>
        <v>10.000930538653,-0.193874155792023</v>
      </c>
      <c r="AB19" t="str">
        <f t="shared" si="6"/>
        <v>10.0043812470001,-0.261743767669057</v>
      </c>
      <c r="AC19" t="str">
        <f t="shared" si="7"/>
        <v>10.0099919297106,-0.184148996763164</v>
      </c>
    </row>
    <row r="20" spans="2:29" x14ac:dyDescent="0.2">
      <c r="B20" s="3">
        <v>18</v>
      </c>
      <c r="C20" s="6">
        <v>10.6567164179105</v>
      </c>
      <c r="D20" s="6">
        <v>1.3050713650615099E-15</v>
      </c>
      <c r="E20" s="8">
        <v>1.5707963267948934</v>
      </c>
      <c r="F20" s="7"/>
      <c r="G20" s="10">
        <v>10.627427490154499</v>
      </c>
      <c r="H20" s="10">
        <v>-0.17237671310010899</v>
      </c>
      <c r="I20" s="10">
        <v>1.5829016618254299</v>
      </c>
      <c r="K20" s="10">
        <v>10.6312009890258</v>
      </c>
      <c r="L20" s="10">
        <v>-0.26933200131138801</v>
      </c>
      <c r="M20" s="10">
        <v>1.5512892837854899</v>
      </c>
      <c r="N20" s="13"/>
      <c r="O20" s="10">
        <v>10.6368428392214</v>
      </c>
      <c r="P20" s="10">
        <v>-0.18845103446191799</v>
      </c>
      <c r="Q20" s="10">
        <v>1.53349846255904</v>
      </c>
      <c r="R20" s="13"/>
      <c r="S20" s="8">
        <v>1.5707963267948934</v>
      </c>
      <c r="T20" s="17"/>
      <c r="U20" s="13">
        <f t="shared" si="0"/>
        <v>0</v>
      </c>
      <c r="V20" s="13">
        <f t="shared" si="1"/>
        <v>0.6935846068416085</v>
      </c>
      <c r="W20" s="13">
        <f t="shared" si="2"/>
        <v>-1.1176712352189988</v>
      </c>
      <c r="X20" s="13">
        <f t="shared" si="3"/>
        <v>-2.1370102055663387</v>
      </c>
      <c r="Z20" t="str">
        <f t="shared" si="4"/>
        <v>10.6567164179105,1.30507136506151E-15</v>
      </c>
      <c r="AA20" t="str">
        <f t="shared" si="5"/>
        <v>10.6274274901545,-0.172376713100109</v>
      </c>
      <c r="AB20" t="str">
        <f t="shared" si="6"/>
        <v>10.6312009890258,-0.269332001311388</v>
      </c>
      <c r="AC20" t="str">
        <f t="shared" si="7"/>
        <v>10.6368428392214,-0.188451034461918</v>
      </c>
    </row>
    <row r="21" spans="2:29" x14ac:dyDescent="0.2">
      <c r="B21" s="3">
        <v>19</v>
      </c>
      <c r="C21" s="6">
        <v>11.283582089552199</v>
      </c>
      <c r="D21" s="6">
        <v>1.38184026888866E-15</v>
      </c>
      <c r="E21" s="8">
        <v>1.5707963267948934</v>
      </c>
      <c r="F21" s="7"/>
      <c r="G21" s="10">
        <v>11.2542472321802</v>
      </c>
      <c r="H21" s="10">
        <v>-0.17996494674244001</v>
      </c>
      <c r="I21" s="10">
        <v>1.5512892837854899</v>
      </c>
      <c r="K21" s="10">
        <v>11.257947395505299</v>
      </c>
      <c r="L21" s="10">
        <v>-0.25710448120693702</v>
      </c>
      <c r="M21" s="10">
        <v>1.5279386909291399</v>
      </c>
      <c r="N21" s="13"/>
      <c r="O21" s="10">
        <v>11.2632725353753</v>
      </c>
      <c r="P21" s="10">
        <v>-0.165075704316448</v>
      </c>
      <c r="Q21" s="10">
        <v>1.5220896763776099</v>
      </c>
      <c r="R21" s="13"/>
      <c r="S21" s="8">
        <v>1.5707963267948934</v>
      </c>
      <c r="T21" s="17"/>
      <c r="U21" s="13">
        <f t="shared" si="0"/>
        <v>0</v>
      </c>
      <c r="V21" s="13">
        <f t="shared" si="1"/>
        <v>-1.1176712352189988</v>
      </c>
      <c r="W21" s="13">
        <f t="shared" si="2"/>
        <v>-2.4555616550161834</v>
      </c>
      <c r="X21" s="13">
        <f t="shared" si="3"/>
        <v>-2.7906855031294548</v>
      </c>
      <c r="Z21" t="str">
        <f t="shared" si="4"/>
        <v>11.2835820895522,1.38184026888866E-15</v>
      </c>
      <c r="AA21" t="str">
        <f t="shared" si="5"/>
        <v>11.2542472321802,-0.17996494674244</v>
      </c>
      <c r="AB21" t="str">
        <f t="shared" si="6"/>
        <v>11.2579473955053,-0.257104481206937</v>
      </c>
      <c r="AC21" t="str">
        <f t="shared" si="7"/>
        <v>11.2632725353753,-0.165075704316448</v>
      </c>
    </row>
    <row r="22" spans="2:29" x14ac:dyDescent="0.2">
      <c r="B22" s="3">
        <v>20</v>
      </c>
      <c r="C22" s="6">
        <v>11.910447761194</v>
      </c>
      <c r="D22" s="6">
        <v>1.4586091727158E-15</v>
      </c>
      <c r="E22" s="8">
        <v>1.5707963267948934</v>
      </c>
      <c r="F22" s="7"/>
      <c r="G22" s="10">
        <v>11.880993638659699</v>
      </c>
      <c r="H22" s="10">
        <v>-0.16773742663798899</v>
      </c>
      <c r="I22" s="10">
        <v>1.5279386909291399</v>
      </c>
      <c r="K22" s="10">
        <v>11.884237449053201</v>
      </c>
      <c r="L22" s="10">
        <v>-0.23024672422870099</v>
      </c>
      <c r="M22" s="10">
        <v>1.52350413453142</v>
      </c>
      <c r="N22" s="13"/>
      <c r="O22" s="10">
        <v>11.889394785442599</v>
      </c>
      <c r="P22" s="10">
        <v>-0.13455524800198501</v>
      </c>
      <c r="Q22" s="10">
        <v>1.5211718171049899</v>
      </c>
      <c r="R22" s="13"/>
      <c r="S22" s="8">
        <v>1.5707963267948934</v>
      </c>
      <c r="T22" s="17"/>
      <c r="U22" s="13">
        <f t="shared" si="0"/>
        <v>0</v>
      </c>
      <c r="V22" s="13">
        <f t="shared" si="1"/>
        <v>-2.4555616550161834</v>
      </c>
      <c r="W22" s="13">
        <f t="shared" si="2"/>
        <v>-2.7096430206182736</v>
      </c>
      <c r="X22" s="13">
        <f t="shared" si="3"/>
        <v>-2.8432749656375282</v>
      </c>
      <c r="Z22" t="str">
        <f t="shared" si="4"/>
        <v>11.910447761194,1.4586091727158E-15</v>
      </c>
      <c r="AA22" t="str">
        <f t="shared" si="5"/>
        <v>11.8809936386597,-0.167737426637989</v>
      </c>
      <c r="AB22" t="str">
        <f t="shared" si="6"/>
        <v>11.8842374490532,-0.230246724228701</v>
      </c>
      <c r="AC22" t="str">
        <f t="shared" si="7"/>
        <v>11.8893947854426,-0.134555248001985</v>
      </c>
    </row>
    <row r="23" spans="2:29" x14ac:dyDescent="0.2">
      <c r="B23" s="3">
        <v>21</v>
      </c>
      <c r="C23" s="6">
        <v>12.5373134328358</v>
      </c>
      <c r="D23" s="6">
        <v>1.5353780765429501E-15</v>
      </c>
      <c r="E23" s="8">
        <v>1.5707963267948934</v>
      </c>
      <c r="F23" s="7"/>
      <c r="G23" s="10">
        <v>12.507283692207601</v>
      </c>
      <c r="H23" s="10">
        <v>-0.14087966965975299</v>
      </c>
      <c r="I23" s="10">
        <v>1.63127191772631</v>
      </c>
      <c r="K23" s="10">
        <v>12.5104022426756</v>
      </c>
      <c r="L23" s="10">
        <v>-0.200611921871822</v>
      </c>
      <c r="M23" s="10">
        <v>1.63127191772631</v>
      </c>
      <c r="N23" s="13"/>
      <c r="O23" s="10">
        <v>12.5154887582867</v>
      </c>
      <c r="P23" s="10">
        <v>-0.10346011251140801</v>
      </c>
      <c r="Q23" s="10">
        <v>1.61560475769826</v>
      </c>
      <c r="R23" s="13"/>
      <c r="S23" s="8">
        <v>1.5707963267948934</v>
      </c>
      <c r="T23" s="17"/>
      <c r="U23" s="13">
        <f t="shared" si="0"/>
        <v>0</v>
      </c>
      <c r="V23" s="13">
        <f t="shared" si="1"/>
        <v>3.4649961239298022</v>
      </c>
      <c r="W23" s="13">
        <f t="shared" si="2"/>
        <v>3.4649961239298022</v>
      </c>
      <c r="X23" s="13">
        <f t="shared" si="3"/>
        <v>2.5673339773664714</v>
      </c>
      <c r="Z23" t="str">
        <f t="shared" si="4"/>
        <v>12.5373134328358,1.53537807654295E-15</v>
      </c>
      <c r="AA23" t="str">
        <f t="shared" si="5"/>
        <v>12.5072836922076,-0.140879669659753</v>
      </c>
      <c r="AB23" t="str">
        <f t="shared" si="6"/>
        <v>12.5104022426756,-0.200611921871822</v>
      </c>
      <c r="AC23" t="str">
        <f t="shared" si="7"/>
        <v>12.5154887582867,-0.103460112511408</v>
      </c>
    </row>
    <row r="24" spans="2:29" x14ac:dyDescent="0.2">
      <c r="B24" s="3">
        <v>22</v>
      </c>
      <c r="C24" s="6">
        <v>13.164179104477601</v>
      </c>
      <c r="D24" s="6">
        <v>1.6121469803700999E-15</v>
      </c>
      <c r="E24" s="8">
        <v>1.5707963267948934</v>
      </c>
      <c r="F24" s="7"/>
      <c r="G24" s="10">
        <v>13.1330033961742</v>
      </c>
      <c r="H24" s="10">
        <v>-0.17876663774618601</v>
      </c>
      <c r="I24" s="10">
        <v>1.63127191772631</v>
      </c>
      <c r="K24" s="10">
        <v>13.1361219466423</v>
      </c>
      <c r="L24" s="10">
        <v>-0.238498889958254</v>
      </c>
      <c r="M24" s="10">
        <v>1.5798639931609499</v>
      </c>
      <c r="N24" s="13"/>
      <c r="O24" s="10">
        <v>13.141725226184001</v>
      </c>
      <c r="P24" s="10">
        <v>-0.13153958113834199</v>
      </c>
      <c r="Q24" s="10">
        <v>1.5651355181181801</v>
      </c>
      <c r="R24" s="13"/>
      <c r="S24" s="8">
        <v>1.5707963267948934</v>
      </c>
      <c r="T24" s="17"/>
      <c r="U24" s="13">
        <f t="shared" si="0"/>
        <v>0</v>
      </c>
      <c r="V24" s="13">
        <f t="shared" si="1"/>
        <v>3.4649961239298022</v>
      </c>
      <c r="W24" s="13">
        <f t="shared" si="2"/>
        <v>0.51953901280776527</v>
      </c>
      <c r="X24" s="13">
        <f t="shared" si="3"/>
        <v>-0.32434044580671251</v>
      </c>
      <c r="Z24" t="str">
        <f t="shared" si="4"/>
        <v>13.1641791044776,1.6121469803701E-15</v>
      </c>
      <c r="AA24" t="str">
        <f t="shared" si="5"/>
        <v>13.1330033961742,-0.178766637746186</v>
      </c>
      <c r="AB24" t="str">
        <f t="shared" si="6"/>
        <v>13.1361219466423,-0.238498889958254</v>
      </c>
      <c r="AC24" t="str">
        <f t="shared" si="7"/>
        <v>13.141725226184,-0.131539581138342</v>
      </c>
    </row>
    <row r="25" spans="2:29" x14ac:dyDescent="0.2">
      <c r="B25" s="3">
        <v>23</v>
      </c>
      <c r="C25" s="6">
        <v>13.791044776119399</v>
      </c>
      <c r="D25" s="6">
        <v>1.68891588419725E-15</v>
      </c>
      <c r="E25" s="8">
        <v>1.5707963267948934</v>
      </c>
      <c r="F25" s="7"/>
      <c r="G25" s="10">
        <v>13.7587231001409</v>
      </c>
      <c r="H25" s="10">
        <v>-0.216653605832618</v>
      </c>
      <c r="I25" s="10">
        <v>1.5798639931609499</v>
      </c>
      <c r="K25" s="10">
        <v>13.7629618472063</v>
      </c>
      <c r="L25" s="10">
        <v>-0.24418302083030799</v>
      </c>
      <c r="M25" s="10">
        <v>1.63289910238188</v>
      </c>
      <c r="N25" s="13"/>
      <c r="O25" s="10">
        <v>13.768580853974299</v>
      </c>
      <c r="P25" s="10">
        <v>-0.12799103345730301</v>
      </c>
      <c r="Q25" s="10">
        <v>1.6477046116182701</v>
      </c>
      <c r="R25" s="13"/>
      <c r="S25" s="8">
        <v>1.5707963267948934</v>
      </c>
      <c r="T25" s="17"/>
      <c r="U25" s="13">
        <f t="shared" si="0"/>
        <v>0</v>
      </c>
      <c r="V25" s="13">
        <f t="shared" si="1"/>
        <v>0.51953901280776527</v>
      </c>
      <c r="W25" s="13">
        <f t="shared" si="2"/>
        <v>3.5582269371824111</v>
      </c>
      <c r="X25" s="13">
        <f t="shared" si="3"/>
        <v>4.4065201299695236</v>
      </c>
      <c r="Z25" t="str">
        <f t="shared" si="4"/>
        <v>13.7910447761194,1.68891588419725E-15</v>
      </c>
      <c r="AA25" t="str">
        <f t="shared" si="5"/>
        <v>13.7587231001409,-0.216653605832618</v>
      </c>
      <c r="AB25" t="str">
        <f t="shared" si="6"/>
        <v>13.7629618472063,-0.244183020830308</v>
      </c>
      <c r="AC25" t="str">
        <f t="shared" si="7"/>
        <v>13.7685808539743,-0.127991033457303</v>
      </c>
    </row>
    <row r="26" spans="2:29" x14ac:dyDescent="0.2">
      <c r="B26" s="3">
        <v>24</v>
      </c>
      <c r="C26" s="6">
        <v>14.4179104477612</v>
      </c>
      <c r="D26" s="6">
        <v>1.76568478802439E-15</v>
      </c>
      <c r="E26" s="8">
        <v>1.5707963267948934</v>
      </c>
      <c r="F26" s="7"/>
      <c r="G26" s="10">
        <v>14.385563000705</v>
      </c>
      <c r="H26" s="10">
        <v>-0.222337736704671</v>
      </c>
      <c r="I26" s="10">
        <v>1.63289910238188</v>
      </c>
      <c r="K26" s="10">
        <v>14.3886190737389</v>
      </c>
      <c r="L26" s="10">
        <v>-0.28308809981119798</v>
      </c>
      <c r="M26" s="10">
        <v>1.6467506581171401</v>
      </c>
      <c r="N26" s="13"/>
      <c r="O26" s="10">
        <v>14.3935935202939</v>
      </c>
      <c r="P26" s="10">
        <v>-0.17615468388959299</v>
      </c>
      <c r="Q26" s="10">
        <v>1.6359320702307401</v>
      </c>
      <c r="R26" s="13"/>
      <c r="S26" s="8">
        <v>1.5707963267948934</v>
      </c>
      <c r="T26" s="17"/>
      <c r="U26" s="13">
        <f t="shared" si="0"/>
        <v>0</v>
      </c>
      <c r="V26" s="13">
        <f t="shared" si="1"/>
        <v>3.5582269371824111</v>
      </c>
      <c r="W26" s="13">
        <f t="shared" si="2"/>
        <v>4.3518626205030433</v>
      </c>
      <c r="X26" s="13">
        <f t="shared" si="3"/>
        <v>3.7320031943209666</v>
      </c>
      <c r="Z26" t="str">
        <f t="shared" si="4"/>
        <v>14.4179104477612,1.76568478802439E-15</v>
      </c>
      <c r="AA26" t="str">
        <f t="shared" si="5"/>
        <v>14.385563000705,-0.222337736704671</v>
      </c>
      <c r="AB26" t="str">
        <f t="shared" si="6"/>
        <v>14.3886190737389,-0.283088099811198</v>
      </c>
      <c r="AC26" t="str">
        <f t="shared" si="7"/>
        <v>14.3935935202939,-0.176154683889593</v>
      </c>
    </row>
    <row r="27" spans="2:29" x14ac:dyDescent="0.2">
      <c r="B27" s="3">
        <v>25</v>
      </c>
      <c r="C27" s="6">
        <v>15.044776119403</v>
      </c>
      <c r="D27" s="6">
        <v>1.8424536918515401E-15</v>
      </c>
      <c r="E27" s="8">
        <v>1.5707963267948934</v>
      </c>
      <c r="F27" s="7"/>
      <c r="G27" s="10">
        <v>15.0112202272375</v>
      </c>
      <c r="H27" s="10">
        <v>-0.26124281568556101</v>
      </c>
      <c r="I27" s="10">
        <v>1.5445792357121999</v>
      </c>
      <c r="K27" s="10">
        <v>15.0136774015452</v>
      </c>
      <c r="L27" s="10">
        <v>-0.33065549539751998</v>
      </c>
      <c r="M27" s="10">
        <v>1.5445792357121999</v>
      </c>
      <c r="N27" s="13"/>
      <c r="O27" s="10">
        <v>15.019129871478601</v>
      </c>
      <c r="P27" s="10">
        <v>-0.21695717927195199</v>
      </c>
      <c r="Q27" s="10">
        <v>1.5274729837826899</v>
      </c>
      <c r="R27" s="13"/>
      <c r="S27" s="8">
        <v>1.5707963267948934</v>
      </c>
      <c r="T27" s="17"/>
      <c r="U27" s="13">
        <f t="shared" si="0"/>
        <v>0</v>
      </c>
      <c r="V27" s="13">
        <f t="shared" si="1"/>
        <v>-1.502128670148406</v>
      </c>
      <c r="W27" s="13">
        <f t="shared" si="2"/>
        <v>-1.502128670148406</v>
      </c>
      <c r="X27" s="13">
        <f t="shared" si="3"/>
        <v>-2.4822447089968493</v>
      </c>
      <c r="Z27" t="str">
        <f t="shared" si="4"/>
        <v>15.044776119403,1.84245369185154E-15</v>
      </c>
      <c r="AA27" t="str">
        <f t="shared" si="5"/>
        <v>15.0112202272375,-0.261242815685561</v>
      </c>
      <c r="AB27" t="str">
        <f t="shared" si="6"/>
        <v>15.0136774015452,-0.33065549539752</v>
      </c>
      <c r="AC27" t="str">
        <f t="shared" si="7"/>
        <v>15.0191298714786,-0.216957179271952</v>
      </c>
    </row>
    <row r="28" spans="2:29" x14ac:dyDescent="0.2">
      <c r="B28" s="3">
        <v>26</v>
      </c>
      <c r="C28" s="6">
        <v>15.6716417910448</v>
      </c>
      <c r="D28" s="6">
        <v>1.9192225956786901E-15</v>
      </c>
      <c r="E28" s="8">
        <v>1.5707963267948934</v>
      </c>
      <c r="F28" s="7"/>
      <c r="G28" s="10">
        <v>15.637870477589299</v>
      </c>
      <c r="H28" s="10">
        <v>-0.24481010389184199</v>
      </c>
      <c r="I28" s="10">
        <v>1.5445792357121999</v>
      </c>
      <c r="K28" s="10">
        <v>15.640327651897</v>
      </c>
      <c r="L28" s="10">
        <v>-0.31422278360380101</v>
      </c>
      <c r="M28" s="10">
        <v>1.46393205381608</v>
      </c>
      <c r="N28" s="13"/>
      <c r="O28" s="10">
        <v>15.645407349261699</v>
      </c>
      <c r="P28" s="10">
        <v>-0.189807757463067</v>
      </c>
      <c r="Q28" s="10">
        <v>1.4575819426315899</v>
      </c>
      <c r="R28" s="13"/>
      <c r="S28" s="8">
        <v>1.5707963267948934</v>
      </c>
      <c r="T28" s="17"/>
      <c r="U28" s="13">
        <f t="shared" si="0"/>
        <v>0</v>
      </c>
      <c r="V28" s="13">
        <f t="shared" si="1"/>
        <v>-1.502128670148406</v>
      </c>
      <c r="W28" s="13">
        <f t="shared" si="2"/>
        <v>-6.1228718224199339</v>
      </c>
      <c r="X28" s="13">
        <f t="shared" si="3"/>
        <v>-6.4867063927300377</v>
      </c>
      <c r="Z28" t="str">
        <f t="shared" si="4"/>
        <v>15.6716417910448,1.91922259567869E-15</v>
      </c>
      <c r="AA28" t="str">
        <f t="shared" si="5"/>
        <v>15.6378704775893,-0.244810103891842</v>
      </c>
      <c r="AB28" t="str">
        <f t="shared" si="6"/>
        <v>15.640327651897,-0.314222783603801</v>
      </c>
      <c r="AC28" t="str">
        <f t="shared" si="7"/>
        <v>15.6454073492617,-0.189807757463067</v>
      </c>
    </row>
    <row r="29" spans="2:29" x14ac:dyDescent="0.2">
      <c r="B29" s="3">
        <v>27</v>
      </c>
      <c r="C29" s="6">
        <v>16.298507462686601</v>
      </c>
      <c r="D29" s="6">
        <v>1.9959914995058398E-15</v>
      </c>
      <c r="E29" s="8">
        <v>1.5707963267948934</v>
      </c>
      <c r="F29" s="7"/>
      <c r="G29" s="10">
        <v>16.2645207279412</v>
      </c>
      <c r="H29" s="10">
        <v>-0.22837739209812299</v>
      </c>
      <c r="I29" s="10">
        <v>1.46393205381608</v>
      </c>
      <c r="K29" s="10">
        <v>16.263617334152698</v>
      </c>
      <c r="L29" s="10">
        <v>-0.24736066969341799</v>
      </c>
      <c r="M29" s="10">
        <v>1.5435742593316599</v>
      </c>
      <c r="N29" s="13"/>
      <c r="O29" s="10">
        <v>16.268259885816502</v>
      </c>
      <c r="P29" s="10">
        <v>-0.118989059436699</v>
      </c>
      <c r="Q29" s="10">
        <v>1.53106450456698</v>
      </c>
      <c r="R29" s="13"/>
      <c r="S29" s="8">
        <v>1.5707963267948934</v>
      </c>
      <c r="T29" s="17"/>
      <c r="U29" s="13">
        <f t="shared" si="0"/>
        <v>0</v>
      </c>
      <c r="V29" s="13">
        <f t="shared" si="1"/>
        <v>-6.1228718224199339</v>
      </c>
      <c r="W29" s="13">
        <f t="shared" si="2"/>
        <v>-1.5597095752636803</v>
      </c>
      <c r="X29" s="13">
        <f t="shared" si="3"/>
        <v>-2.2764657260235146</v>
      </c>
      <c r="Z29" t="str">
        <f t="shared" si="4"/>
        <v>16.2985074626866,1.99599149950584E-15</v>
      </c>
      <c r="AA29" t="str">
        <f t="shared" si="5"/>
        <v>16.2645207279412,-0.228377392098123</v>
      </c>
      <c r="AB29" t="str">
        <f t="shared" si="6"/>
        <v>16.2636173341527,-0.247360669693418</v>
      </c>
      <c r="AC29" t="str">
        <f t="shared" si="7"/>
        <v>16.2682598858165,-0.118989059436699</v>
      </c>
    </row>
    <row r="30" spans="2:29" x14ac:dyDescent="0.2">
      <c r="B30" s="3">
        <v>28</v>
      </c>
      <c r="C30" s="6">
        <v>16.9253731343284</v>
      </c>
      <c r="D30" s="6">
        <v>2.07276040333298E-15</v>
      </c>
      <c r="E30" s="8">
        <v>1.5707963267948934</v>
      </c>
      <c r="F30" s="7"/>
      <c r="G30" s="10">
        <v>16.887810410196799</v>
      </c>
      <c r="H30" s="10">
        <v>-0.16151527818774</v>
      </c>
      <c r="I30" s="10">
        <v>1.5435742593316599</v>
      </c>
      <c r="K30" s="10">
        <v>16.8902507535688</v>
      </c>
      <c r="L30" s="10">
        <v>-0.23029819760357501</v>
      </c>
      <c r="M30" s="10">
        <v>1.53202062885888</v>
      </c>
      <c r="N30" s="13"/>
      <c r="O30" s="10">
        <v>16.894630831923699</v>
      </c>
      <c r="P30" s="10">
        <v>-9.4089096470703695E-2</v>
      </c>
      <c r="Q30" s="10">
        <v>1.5101627622387701</v>
      </c>
      <c r="R30" s="13"/>
      <c r="S30" s="8">
        <v>1.5707963267948934</v>
      </c>
      <c r="T30" s="17"/>
      <c r="U30" s="13">
        <f t="shared" si="0"/>
        <v>0</v>
      </c>
      <c r="V30" s="13">
        <f t="shared" si="1"/>
        <v>-1.5597095752636803</v>
      </c>
      <c r="W30" s="13">
        <f t="shared" si="2"/>
        <v>-2.221683839407707</v>
      </c>
      <c r="X30" s="13">
        <f t="shared" si="3"/>
        <v>-3.4740473458998862</v>
      </c>
      <c r="Z30" t="str">
        <f t="shared" si="4"/>
        <v>16.9253731343284,2.07276040333298E-15</v>
      </c>
      <c r="AA30" t="str">
        <f t="shared" si="5"/>
        <v>16.8878104101968,-0.16151527818774</v>
      </c>
      <c r="AB30" t="str">
        <f t="shared" si="6"/>
        <v>16.8902507535688,-0.230298197603575</v>
      </c>
      <c r="AC30" t="str">
        <f t="shared" si="7"/>
        <v>16.8946308319237,-0.0940890964707037</v>
      </c>
    </row>
    <row r="31" spans="2:29" x14ac:dyDescent="0.2">
      <c r="B31" s="3">
        <v>29</v>
      </c>
      <c r="C31" s="6">
        <v>17.552238805970202</v>
      </c>
      <c r="D31" s="6">
        <v>2.1495293071601301E-15</v>
      </c>
      <c r="E31" s="8">
        <v>1.5707963267948934</v>
      </c>
      <c r="F31" s="7"/>
      <c r="G31" s="10">
        <v>17.514443829612901</v>
      </c>
      <c r="H31" s="10">
        <v>-0.14445280609789701</v>
      </c>
      <c r="I31" s="10">
        <v>1.40942307828882</v>
      </c>
      <c r="K31" s="10">
        <v>17.5166452208259</v>
      </c>
      <c r="L31" s="10">
        <v>-0.20599713440508899</v>
      </c>
      <c r="M31" s="10">
        <v>1.40942307828882</v>
      </c>
      <c r="N31" s="13"/>
      <c r="O31" s="10">
        <v>17.5203445429411</v>
      </c>
      <c r="P31" s="10">
        <v>-5.6103281647742503E-2</v>
      </c>
      <c r="Q31" s="10">
        <v>1.4060826860043101</v>
      </c>
      <c r="R31" s="13"/>
      <c r="S31" s="8">
        <v>1.5707963267948934</v>
      </c>
      <c r="T31" s="17"/>
      <c r="U31" s="13">
        <f t="shared" si="0"/>
        <v>0</v>
      </c>
      <c r="V31" s="13">
        <f t="shared" si="1"/>
        <v>-9.2460060657138285</v>
      </c>
      <c r="W31" s="13">
        <f t="shared" si="2"/>
        <v>-9.2460060657138285</v>
      </c>
      <c r="X31" s="13">
        <f t="shared" si="3"/>
        <v>-9.4373964455343078</v>
      </c>
      <c r="Z31" t="str">
        <f t="shared" si="4"/>
        <v>17.5522388059702,2.14952930716013E-15</v>
      </c>
      <c r="AA31" t="str">
        <f t="shared" si="5"/>
        <v>17.5144438296129,-0.144452806097897</v>
      </c>
      <c r="AB31" t="str">
        <f t="shared" si="6"/>
        <v>17.5166452208259,-0.205997134405089</v>
      </c>
      <c r="AC31" t="str">
        <f t="shared" si="7"/>
        <v>17.5203445429411,-0.0561032816477425</v>
      </c>
    </row>
    <row r="32" spans="2:29" x14ac:dyDescent="0.2">
      <c r="B32" s="3">
        <v>30</v>
      </c>
      <c r="C32" s="6">
        <v>18.179104477612</v>
      </c>
      <c r="D32" s="6">
        <v>2.2262982109872802E-15</v>
      </c>
      <c r="E32" s="8">
        <v>1.5707963267948934</v>
      </c>
      <c r="F32" s="7"/>
      <c r="G32" s="10">
        <v>18.133164992327998</v>
      </c>
      <c r="H32" s="10">
        <v>-4.37319388882981E-2</v>
      </c>
      <c r="I32" s="10">
        <v>1.56805341084989</v>
      </c>
      <c r="K32" s="10">
        <v>18.135366383540902</v>
      </c>
      <c r="L32" s="10">
        <v>-0.10527626719549001</v>
      </c>
      <c r="M32" s="10">
        <v>1.56805341084989</v>
      </c>
      <c r="N32" s="13"/>
      <c r="O32" s="10">
        <v>18.138725807163699</v>
      </c>
      <c r="P32" s="10">
        <v>4.6683791184166101E-2</v>
      </c>
      <c r="Q32" s="10">
        <v>1.5615358649579301</v>
      </c>
      <c r="R32" s="13"/>
      <c r="S32" s="8">
        <v>1.5707963267948934</v>
      </c>
      <c r="T32" s="17"/>
      <c r="U32" s="13">
        <f t="shared" si="0"/>
        <v>0</v>
      </c>
      <c r="V32" s="13">
        <f t="shared" si="1"/>
        <v>-0.15715750720783386</v>
      </c>
      <c r="W32" s="13">
        <f t="shared" si="2"/>
        <v>-0.15715750720783386</v>
      </c>
      <c r="X32" s="13">
        <f t="shared" si="3"/>
        <v>-0.53058537959996743</v>
      </c>
      <c r="Z32" t="str">
        <f t="shared" si="4"/>
        <v>18.179104477612,2.22629821098728E-15</v>
      </c>
      <c r="AA32" t="str">
        <f t="shared" si="5"/>
        <v>18.133164992328,-0.0437319388882981</v>
      </c>
      <c r="AB32" t="str">
        <f t="shared" si="6"/>
        <v>18.1353663835409,-0.10527626719549</v>
      </c>
      <c r="AC32" t="str">
        <f t="shared" si="7"/>
        <v>18.1387258071637,0.0466837911841661</v>
      </c>
    </row>
    <row r="33" spans="2:29" x14ac:dyDescent="0.2">
      <c r="B33" s="3">
        <v>31</v>
      </c>
      <c r="C33" s="6">
        <v>18.805970149253699</v>
      </c>
      <c r="D33" s="6">
        <v>2.3030671148144298E-15</v>
      </c>
      <c r="E33" s="8">
        <v>1.5707963267948934</v>
      </c>
      <c r="F33" s="7"/>
      <c r="G33" s="10">
        <v>18.7600283058317</v>
      </c>
      <c r="H33" s="10">
        <v>-4.2012501198232799E-2</v>
      </c>
      <c r="I33" s="10">
        <v>1.56805341084989</v>
      </c>
      <c r="K33" s="10">
        <v>18.762229697044699</v>
      </c>
      <c r="L33" s="10">
        <v>-0.103556829505425</v>
      </c>
      <c r="M33" s="10">
        <v>1.58072814828834</v>
      </c>
      <c r="N33" s="13"/>
      <c r="O33" s="10">
        <v>18.765564600203199</v>
      </c>
      <c r="P33" s="10">
        <v>5.24887738436461E-2</v>
      </c>
      <c r="Q33" s="10">
        <v>1.55611656039947</v>
      </c>
      <c r="R33" s="13"/>
      <c r="S33" s="8">
        <v>1.5707963267948934</v>
      </c>
      <c r="T33" s="17"/>
      <c r="U33" s="13">
        <f t="shared" si="0"/>
        <v>0</v>
      </c>
      <c r="V33" s="13">
        <f t="shared" si="1"/>
        <v>-0.15715750720783386</v>
      </c>
      <c r="W33" s="13">
        <f t="shared" si="2"/>
        <v>0.56905145445180338</v>
      </c>
      <c r="X33" s="13">
        <f t="shared" si="3"/>
        <v>-0.84108865869573757</v>
      </c>
      <c r="Z33" t="str">
        <f t="shared" si="4"/>
        <v>18.8059701492537,2.30306711481443E-15</v>
      </c>
      <c r="AA33" t="str">
        <f t="shared" si="5"/>
        <v>18.7600283058317,-0.0420125011982328</v>
      </c>
      <c r="AB33" t="str">
        <f t="shared" si="6"/>
        <v>18.7622296970447,-0.103556829505425</v>
      </c>
      <c r="AC33" t="str">
        <f t="shared" si="7"/>
        <v>18.7655646002032,0.0524887738436461</v>
      </c>
    </row>
    <row r="34" spans="2:29" x14ac:dyDescent="0.2">
      <c r="B34" s="3">
        <v>32</v>
      </c>
      <c r="C34" s="6">
        <v>19.432835820895502</v>
      </c>
      <c r="D34" s="6">
        <v>2.37983601864157E-15</v>
      </c>
      <c r="E34" s="8">
        <v>1.5707963267948934</v>
      </c>
      <c r="F34" s="7"/>
      <c r="G34" s="10">
        <v>19.386891619335501</v>
      </c>
      <c r="H34" s="10">
        <v>-4.0293063508167498E-2</v>
      </c>
      <c r="I34" s="10">
        <v>1.58072814828834</v>
      </c>
      <c r="K34" s="10">
        <v>19.389064451587799</v>
      </c>
      <c r="L34" s="10">
        <v>-0.109782645101834</v>
      </c>
      <c r="M34" s="10">
        <v>1.5357212199605801</v>
      </c>
      <c r="N34" s="13"/>
      <c r="O34" s="10">
        <v>19.392362729679299</v>
      </c>
      <c r="P34" s="10">
        <v>6.16906849612169E-2</v>
      </c>
      <c r="Q34" s="10">
        <v>1.5312319147020199</v>
      </c>
      <c r="R34" s="13"/>
      <c r="S34" s="8">
        <v>1.5707963267948934</v>
      </c>
      <c r="T34" s="17"/>
      <c r="U34" s="13">
        <f t="shared" si="0"/>
        <v>0</v>
      </c>
      <c r="V34" s="13">
        <f t="shared" si="1"/>
        <v>0.56905145445180338</v>
      </c>
      <c r="W34" s="13">
        <f t="shared" si="2"/>
        <v>-2.0096555875766255</v>
      </c>
      <c r="X34" s="13">
        <f t="shared" si="3"/>
        <v>-2.2668738318380099</v>
      </c>
      <c r="Z34" t="str">
        <f t="shared" si="4"/>
        <v>19.4328358208955,2.37983601864157E-15</v>
      </c>
      <c r="AA34" t="str">
        <f t="shared" si="5"/>
        <v>19.3868916193355,-0.0402930635081675</v>
      </c>
      <c r="AB34" t="str">
        <f t="shared" si="6"/>
        <v>19.3890644515878,-0.109782645101834</v>
      </c>
      <c r="AC34" t="str">
        <f t="shared" si="7"/>
        <v>19.3923627296793,0.0616906849612169</v>
      </c>
    </row>
    <row r="35" spans="2:29" x14ac:dyDescent="0.2">
      <c r="B35" s="3">
        <v>33</v>
      </c>
      <c r="C35" s="6">
        <v>20.0597014925373</v>
      </c>
      <c r="D35" s="6">
        <v>2.4566049224687201E-15</v>
      </c>
      <c r="E35" s="8">
        <v>1.5707963267948934</v>
      </c>
      <c r="F35" s="7"/>
      <c r="G35" s="10">
        <v>20.013726373878601</v>
      </c>
      <c r="H35" s="10">
        <v>-4.6518879104576603E-2</v>
      </c>
      <c r="I35" s="10">
        <v>1.5357212199605801</v>
      </c>
      <c r="K35" s="10">
        <v>20.015544557902601</v>
      </c>
      <c r="L35" s="10">
        <v>-8.7799772798117001E-2</v>
      </c>
      <c r="M35" s="10">
        <v>1.5619357579541899</v>
      </c>
      <c r="N35" s="13"/>
      <c r="O35" s="10">
        <v>20.0187378355152</v>
      </c>
      <c r="P35" s="10">
        <v>8.6485786734102094E-2</v>
      </c>
      <c r="Q35" s="10">
        <v>1.54634257609861</v>
      </c>
      <c r="R35" s="13"/>
      <c r="S35" s="8">
        <v>1.5707963267948934</v>
      </c>
      <c r="T35" s="17"/>
      <c r="U35" s="13">
        <f t="shared" si="0"/>
        <v>0</v>
      </c>
      <c r="V35" s="13">
        <f t="shared" si="1"/>
        <v>-2.0096555875766255</v>
      </c>
      <c r="W35" s="13">
        <f t="shared" si="2"/>
        <v>-0.50767319865743632</v>
      </c>
      <c r="X35" s="13">
        <f t="shared" si="3"/>
        <v>-1.4010967081621379</v>
      </c>
      <c r="Z35" t="str">
        <f t="shared" si="4"/>
        <v>20.0597014925373,2.45660492246872E-15</v>
      </c>
      <c r="AA35" t="str">
        <f t="shared" si="5"/>
        <v>20.0137263738786,-0.0465188791045766</v>
      </c>
      <c r="AB35" t="str">
        <f t="shared" si="6"/>
        <v>20.0155445579026,-0.087799772798117</v>
      </c>
      <c r="AC35" t="str">
        <f t="shared" si="7"/>
        <v>20.0187378355152,0.0864857867341021</v>
      </c>
    </row>
    <row r="36" spans="2:29" x14ac:dyDescent="0.2">
      <c r="B36" s="3">
        <v>34</v>
      </c>
      <c r="C36" s="6">
        <v>20.686567164179099</v>
      </c>
      <c r="D36" s="6">
        <v>2.5333738262958702E-15</v>
      </c>
      <c r="E36" s="8">
        <v>1.5707963267948934</v>
      </c>
      <c r="F36" s="7"/>
      <c r="G36" s="10">
        <v>20.640206480193399</v>
      </c>
      <c r="H36" s="10">
        <v>-2.4536006800859999E-2</v>
      </c>
      <c r="I36" s="10">
        <v>1.5619357579541899</v>
      </c>
      <c r="K36" s="10">
        <v>20.6423856221937</v>
      </c>
      <c r="L36" s="10">
        <v>-8.2245459039226004E-2</v>
      </c>
      <c r="M36" s="10">
        <v>1.5870228642848301</v>
      </c>
      <c r="N36" s="13"/>
      <c r="O36" s="10">
        <v>20.645416088073102</v>
      </c>
      <c r="P36" s="10">
        <v>0.10181347585818599</v>
      </c>
      <c r="Q36" s="10">
        <v>1.5712740319057901</v>
      </c>
      <c r="R36" s="13"/>
      <c r="S36" s="8">
        <v>1.5707963267948934</v>
      </c>
      <c r="T36" s="17"/>
      <c r="U36" s="13">
        <f t="shared" si="0"/>
        <v>0</v>
      </c>
      <c r="V36" s="13">
        <f t="shared" si="1"/>
        <v>-0.50767319865743632</v>
      </c>
      <c r="W36" s="13">
        <f t="shared" si="2"/>
        <v>0.92971211428417355</v>
      </c>
      <c r="X36" s="13">
        <f t="shared" si="3"/>
        <v>2.7370486706205288E-2</v>
      </c>
      <c r="Z36" t="str">
        <f t="shared" si="4"/>
        <v>20.6865671641791,2.53337382629587E-15</v>
      </c>
      <c r="AA36" t="str">
        <f t="shared" si="5"/>
        <v>20.6402064801934,-0.02453600680086</v>
      </c>
      <c r="AB36" t="str">
        <f t="shared" si="6"/>
        <v>20.6423856221937,-0.082245459039226</v>
      </c>
      <c r="AC36" t="str">
        <f t="shared" si="7"/>
        <v>20.6454160880731,0.101813475858186</v>
      </c>
    </row>
    <row r="37" spans="2:29" x14ac:dyDescent="0.2">
      <c r="B37" s="3">
        <v>35</v>
      </c>
      <c r="C37" s="6">
        <v>21.313432835820901</v>
      </c>
      <c r="D37" s="6">
        <v>2.6101427301230199E-15</v>
      </c>
      <c r="E37" s="8">
        <v>1.5707963267948934</v>
      </c>
      <c r="F37" s="7"/>
      <c r="G37" s="10">
        <v>21.267047544484502</v>
      </c>
      <c r="H37" s="10">
        <v>-1.8981693041968901E-2</v>
      </c>
      <c r="I37" s="10">
        <v>1.4670479659144899</v>
      </c>
      <c r="K37" s="10">
        <v>21.269168768617899</v>
      </c>
      <c r="L37" s="10">
        <v>-9.2416871991178595E-2</v>
      </c>
      <c r="M37" s="10">
        <v>1.4670479659144899</v>
      </c>
      <c r="N37" s="13"/>
      <c r="O37" s="10">
        <v>21.272281688188801</v>
      </c>
      <c r="P37" s="10">
        <v>0.101514018934388</v>
      </c>
      <c r="Q37" s="10">
        <v>1.46057678004784</v>
      </c>
      <c r="R37" s="13"/>
      <c r="S37" s="8">
        <v>1.5707963267948934</v>
      </c>
      <c r="T37" s="17"/>
      <c r="U37" s="13">
        <f t="shared" si="0"/>
        <v>0</v>
      </c>
      <c r="V37" s="13">
        <f t="shared" si="1"/>
        <v>-5.944343209847295</v>
      </c>
      <c r="W37" s="13">
        <f t="shared" si="2"/>
        <v>-5.944343209847295</v>
      </c>
      <c r="X37" s="13">
        <f t="shared" si="3"/>
        <v>-6.3151148484510466</v>
      </c>
      <c r="Z37" t="str">
        <f t="shared" si="4"/>
        <v>21.3134328358209,2.61014273012302E-15</v>
      </c>
      <c r="AA37" t="str">
        <f t="shared" si="5"/>
        <v>21.2670475444845,-0.0189816930419689</v>
      </c>
      <c r="AB37" t="str">
        <f t="shared" si="6"/>
        <v>21.2691687686179,-0.0924168719911786</v>
      </c>
      <c r="AC37" t="str">
        <f t="shared" si="7"/>
        <v>21.2722816881888,0.101514018934388</v>
      </c>
    </row>
    <row r="38" spans="2:29" x14ac:dyDescent="0.2">
      <c r="B38" s="3">
        <v>36</v>
      </c>
      <c r="C38" s="6">
        <v>21.9402985074627</v>
      </c>
      <c r="D38" s="6">
        <v>2.6869116339501699E-15</v>
      </c>
      <c r="E38" s="8">
        <v>1.5707963267948934</v>
      </c>
      <c r="F38" s="7"/>
      <c r="G38" s="10">
        <v>21.890542537144</v>
      </c>
      <c r="H38" s="10">
        <v>4.5937983570490303E-2</v>
      </c>
      <c r="I38" s="10">
        <v>1.58205955846742</v>
      </c>
      <c r="K38" s="10">
        <v>21.892663761277401</v>
      </c>
      <c r="L38" s="10">
        <v>-2.7497195378719402E-2</v>
      </c>
      <c r="M38" s="10">
        <v>1.58205955846742</v>
      </c>
      <c r="N38" s="13"/>
      <c r="O38" s="10">
        <v>21.895343521717201</v>
      </c>
      <c r="P38" s="10">
        <v>0.170467060079841</v>
      </c>
      <c r="Q38" s="10">
        <v>1.5662371726170501</v>
      </c>
      <c r="R38" s="13"/>
      <c r="S38" s="8">
        <v>1.5707963267948934</v>
      </c>
      <c r="T38" s="17"/>
      <c r="U38" s="13">
        <f t="shared" si="0"/>
        <v>0</v>
      </c>
      <c r="V38" s="13">
        <f t="shared" si="1"/>
        <v>0.6453356385138449</v>
      </c>
      <c r="W38" s="13">
        <f t="shared" si="2"/>
        <v>0.6453356385138449</v>
      </c>
      <c r="X38" s="13">
        <f t="shared" si="3"/>
        <v>-0.26122029253986134</v>
      </c>
      <c r="Z38" t="str">
        <f t="shared" si="4"/>
        <v>21.9402985074627,2.68691163395017E-15</v>
      </c>
      <c r="AA38" t="str">
        <f t="shared" si="5"/>
        <v>21.890542537144,0.0459379835704903</v>
      </c>
      <c r="AB38" t="str">
        <f t="shared" si="6"/>
        <v>21.8926637612774,-0.0274971953787194</v>
      </c>
      <c r="AC38" t="str">
        <f t="shared" si="7"/>
        <v>21.8953435217172,0.170467060079841</v>
      </c>
    </row>
    <row r="39" spans="2:29" x14ac:dyDescent="0.2">
      <c r="B39" s="3">
        <v>37</v>
      </c>
      <c r="C39" s="6">
        <v>22.567164179104498</v>
      </c>
      <c r="D39" s="6">
        <v>2.7636805377773101E-15</v>
      </c>
      <c r="E39" s="8">
        <v>1.5707963267948934</v>
      </c>
      <c r="F39" s="7"/>
      <c r="G39" s="10">
        <v>22.517368446995</v>
      </c>
      <c r="H39" s="10">
        <v>3.88775995659549E-2</v>
      </c>
      <c r="I39" s="10">
        <v>1.58205955846742</v>
      </c>
      <c r="K39" s="10">
        <v>22.5194896711285</v>
      </c>
      <c r="L39" s="10">
        <v>-3.4557579383254801E-2</v>
      </c>
      <c r="M39" s="10">
        <v>1.5980897601138</v>
      </c>
      <c r="N39" s="13"/>
      <c r="O39" s="10">
        <v>22.522202678390801</v>
      </c>
      <c r="P39" s="10">
        <v>0.17332502742473399</v>
      </c>
      <c r="Q39" s="10">
        <v>1.5830642462053699</v>
      </c>
      <c r="R39" s="13"/>
      <c r="S39" s="8">
        <v>1.5707963267948934</v>
      </c>
      <c r="T39" s="17"/>
      <c r="U39" s="13">
        <f t="shared" si="0"/>
        <v>0</v>
      </c>
      <c r="V39" s="13">
        <f t="shared" si="1"/>
        <v>0.6453356385138449</v>
      </c>
      <c r="W39" s="13">
        <f t="shared" si="2"/>
        <v>1.5637985375950842</v>
      </c>
      <c r="X39" s="13">
        <f t="shared" si="3"/>
        <v>0.70290000562692134</v>
      </c>
      <c r="Z39" t="str">
        <f t="shared" si="4"/>
        <v>22.5671641791045,2.76368053777731E-15</v>
      </c>
      <c r="AA39" t="str">
        <f t="shared" si="5"/>
        <v>22.517368446995,0.0388775995659549</v>
      </c>
      <c r="AB39" t="str">
        <f t="shared" si="6"/>
        <v>22.5194896711285,-0.0345575793832548</v>
      </c>
      <c r="AC39" t="str">
        <f t="shared" si="7"/>
        <v>22.5222026783908,0.173325027424734</v>
      </c>
    </row>
    <row r="40" spans="2:29" x14ac:dyDescent="0.2">
      <c r="B40" s="3">
        <v>38</v>
      </c>
      <c r="C40" s="6">
        <v>23.194029850746301</v>
      </c>
      <c r="D40" s="6">
        <v>2.8404494416044602E-15</v>
      </c>
      <c r="E40" s="8">
        <v>1.5707963267948934</v>
      </c>
      <c r="F40" s="7"/>
      <c r="G40" s="10">
        <v>23.1441943568461</v>
      </c>
      <c r="H40" s="10">
        <v>3.18172155614194E-2</v>
      </c>
      <c r="I40" s="10">
        <v>1.5980897601138</v>
      </c>
      <c r="K40" s="10">
        <v>23.1461218712709</v>
      </c>
      <c r="L40" s="10">
        <v>-5.1664771659773803E-2</v>
      </c>
      <c r="M40" s="10">
        <v>1.5006928745027801</v>
      </c>
      <c r="N40" s="13"/>
      <c r="O40" s="10">
        <v>23.149021178403601</v>
      </c>
      <c r="P40" s="10">
        <v>0.165634882784056</v>
      </c>
      <c r="Q40" s="10">
        <v>1.4884309318826201</v>
      </c>
      <c r="R40" s="13"/>
      <c r="S40" s="8">
        <v>1.5707963267948934</v>
      </c>
      <c r="T40" s="17"/>
      <c r="U40" s="13">
        <f t="shared" si="0"/>
        <v>0</v>
      </c>
      <c r="V40" s="13">
        <f t="shared" si="1"/>
        <v>1.5637985375950842</v>
      </c>
      <c r="W40" s="13">
        <f t="shared" si="2"/>
        <v>-4.0166319456348116</v>
      </c>
      <c r="X40" s="13">
        <f t="shared" si="3"/>
        <v>-4.7191895064015661</v>
      </c>
      <c r="Z40" t="str">
        <f t="shared" si="4"/>
        <v>23.1940298507463,2.84044944160446E-15</v>
      </c>
      <c r="AA40" t="str">
        <f t="shared" si="5"/>
        <v>23.1441943568461,0.0318172155614194</v>
      </c>
      <c r="AB40" t="str">
        <f t="shared" si="6"/>
        <v>23.1461218712709,-0.0516647716597738</v>
      </c>
      <c r="AC40" t="str">
        <f t="shared" si="7"/>
        <v>23.1490211784036,0.165634882784056</v>
      </c>
    </row>
    <row r="41" spans="2:29" x14ac:dyDescent="0.2">
      <c r="B41" s="3">
        <v>39</v>
      </c>
      <c r="C41" s="6">
        <v>23.820895522388099</v>
      </c>
      <c r="D41" s="6">
        <v>2.9172183454316099E-15</v>
      </c>
      <c r="E41" s="8">
        <v>1.5707963267948934</v>
      </c>
      <c r="F41" s="7"/>
      <c r="G41" s="10">
        <v>23.770826556988499</v>
      </c>
      <c r="H41" s="10">
        <v>1.4710023284900399E-2</v>
      </c>
      <c r="I41" s="10">
        <v>1.5006928745027801</v>
      </c>
      <c r="K41" s="10">
        <v>23.771447809853399</v>
      </c>
      <c r="L41" s="10">
        <v>-7.7553100504734298E-3</v>
      </c>
      <c r="M41" s="10">
        <v>1.5788348640773</v>
      </c>
      <c r="N41" s="13"/>
      <c r="O41" s="10">
        <v>23.773761705253801</v>
      </c>
      <c r="P41" s="10">
        <v>0.217208562058465</v>
      </c>
      <c r="Q41" s="10">
        <v>1.56122729240158</v>
      </c>
      <c r="R41" s="13"/>
      <c r="S41" s="8">
        <v>1.5707963267948934</v>
      </c>
      <c r="T41" s="17"/>
      <c r="U41" s="13">
        <f t="shared" si="0"/>
        <v>0</v>
      </c>
      <c r="V41" s="13">
        <f t="shared" si="1"/>
        <v>-4.0166319456348116</v>
      </c>
      <c r="W41" s="13">
        <f t="shared" si="2"/>
        <v>0.46057425974045796</v>
      </c>
      <c r="X41" s="13">
        <f t="shared" si="3"/>
        <v>-0.54826528475239</v>
      </c>
      <c r="Z41" t="str">
        <f t="shared" si="4"/>
        <v>23.8208955223881,2.91721834543161E-15</v>
      </c>
      <c r="AA41" t="str">
        <f t="shared" si="5"/>
        <v>23.7708265569885,0.0147100232849004</v>
      </c>
      <c r="AB41" t="str">
        <f t="shared" si="6"/>
        <v>23.7714478098534,-0.00775531005047343</v>
      </c>
      <c r="AC41" t="str">
        <f t="shared" si="7"/>
        <v>23.7737617052538,0.217208562058465</v>
      </c>
    </row>
    <row r="42" spans="2:29" x14ac:dyDescent="0.2">
      <c r="B42" s="3">
        <v>40</v>
      </c>
      <c r="C42" s="6">
        <v>24.447761194029901</v>
      </c>
      <c r="D42" s="6">
        <v>2.9939872492587599E-15</v>
      </c>
      <c r="E42" s="8">
        <v>1.5707963267948934</v>
      </c>
      <c r="F42" s="7"/>
      <c r="G42" s="10">
        <v>24.396152495570998</v>
      </c>
      <c r="H42" s="10">
        <v>5.8619484894200803E-2</v>
      </c>
      <c r="I42" s="10">
        <v>1.5788348640773</v>
      </c>
      <c r="K42" s="10">
        <v>24.398293228175699</v>
      </c>
      <c r="L42" s="10">
        <v>-1.27943388538844E-2</v>
      </c>
      <c r="M42" s="10">
        <v>1.5180672457283499</v>
      </c>
      <c r="N42" s="13"/>
      <c r="O42" s="10">
        <v>24.4005986771921</v>
      </c>
      <c r="P42" s="10">
        <v>0.2232069696873</v>
      </c>
      <c r="Q42" s="10">
        <v>1.5129959894160501</v>
      </c>
      <c r="R42" s="13"/>
      <c r="S42" s="8">
        <v>1.5707963267948934</v>
      </c>
      <c r="T42" s="17"/>
      <c r="U42" s="13">
        <f t="shared" si="0"/>
        <v>0</v>
      </c>
      <c r="V42" s="13">
        <f t="shared" si="1"/>
        <v>0.46057425974045796</v>
      </c>
      <c r="W42" s="13">
        <f t="shared" si="2"/>
        <v>-3.0211538027161202</v>
      </c>
      <c r="X42" s="13">
        <f t="shared" si="3"/>
        <v>-3.3117153862399809</v>
      </c>
      <c r="Z42" t="str">
        <f t="shared" si="4"/>
        <v>24.4477611940299,2.99398724925876E-15</v>
      </c>
      <c r="AA42" t="str">
        <f t="shared" si="5"/>
        <v>24.396152495571,0.0586194848942008</v>
      </c>
      <c r="AB42" t="str">
        <f t="shared" si="6"/>
        <v>24.3982932281757,-0.0127943388538844</v>
      </c>
      <c r="AC42" t="str">
        <f t="shared" si="7"/>
        <v>24.4005986771921,0.2232069696873</v>
      </c>
    </row>
    <row r="43" spans="2:29" x14ac:dyDescent="0.2">
      <c r="B43" s="3">
        <v>41</v>
      </c>
      <c r="C43" s="6">
        <v>25.0746268656717</v>
      </c>
      <c r="D43" s="6">
        <v>3.0707561530859001E-15</v>
      </c>
      <c r="E43" s="8">
        <v>1.5707963267948934</v>
      </c>
      <c r="F43" s="7"/>
      <c r="G43" s="10">
        <v>25.022997913893299</v>
      </c>
      <c r="H43" s="10">
        <v>5.3580456090789902E-2</v>
      </c>
      <c r="I43" s="10">
        <v>1.5180672457283499</v>
      </c>
      <c r="K43" s="10">
        <v>25.0242876468491</v>
      </c>
      <c r="L43" s="10">
        <v>2.0244397088447601E-2</v>
      </c>
      <c r="M43" s="10">
        <v>1.52642597671986</v>
      </c>
      <c r="N43" s="13"/>
      <c r="O43" s="10">
        <v>25.026417499152998</v>
      </c>
      <c r="P43" s="10">
        <v>0.25941984533144402</v>
      </c>
      <c r="Q43" s="10">
        <v>1.5299472041479201</v>
      </c>
      <c r="R43" s="13"/>
      <c r="S43" s="8">
        <v>1.5707963267948934</v>
      </c>
      <c r="T43" s="17"/>
      <c r="U43" s="13">
        <f t="shared" si="0"/>
        <v>0</v>
      </c>
      <c r="V43" s="13">
        <f t="shared" si="1"/>
        <v>-3.0211538027161202</v>
      </c>
      <c r="W43" s="13">
        <f t="shared" si="2"/>
        <v>-2.542233794817391</v>
      </c>
      <c r="X43" s="13">
        <f t="shared" si="3"/>
        <v>-2.3404823244838444</v>
      </c>
      <c r="Z43" t="str">
        <f t="shared" si="4"/>
        <v>25.0746268656717,3.0707561530859E-15</v>
      </c>
      <c r="AA43" t="str">
        <f t="shared" si="5"/>
        <v>25.0229979138933,0.0535804560907899</v>
      </c>
      <c r="AB43" t="str">
        <f t="shared" si="6"/>
        <v>25.0242876468491,0.0202443970884476</v>
      </c>
      <c r="AC43" t="str">
        <f t="shared" si="7"/>
        <v>25.026417499153,0.259419845331444</v>
      </c>
    </row>
    <row r="44" spans="2:29" x14ac:dyDescent="0.2">
      <c r="B44" s="3">
        <v>42</v>
      </c>
      <c r="C44" s="6">
        <v>25.701492537313499</v>
      </c>
      <c r="D44" s="6">
        <v>3.1475250569130498E-15</v>
      </c>
      <c r="E44" s="8">
        <v>1.5707963267948934</v>
      </c>
      <c r="F44" s="7"/>
      <c r="G44" s="10">
        <v>25.648992332566699</v>
      </c>
      <c r="H44" s="10">
        <v>8.6619192033121906E-2</v>
      </c>
      <c r="I44" s="10">
        <v>1.52642597671986</v>
      </c>
      <c r="K44" s="10">
        <v>25.6505363557309</v>
      </c>
      <c r="L44" s="10">
        <v>4.8049520839140103E-2</v>
      </c>
      <c r="M44" s="10">
        <v>1.57847748322515</v>
      </c>
      <c r="N44" s="13"/>
      <c r="O44" s="10">
        <v>25.652760233558698</v>
      </c>
      <c r="P44" s="10">
        <v>0.28501963713033901</v>
      </c>
      <c r="Q44" s="10">
        <v>1.55802115755723</v>
      </c>
      <c r="R44" s="13"/>
      <c r="S44" s="8">
        <v>1.5707963267948934</v>
      </c>
      <c r="T44" s="17"/>
      <c r="U44" s="13">
        <f t="shared" si="0"/>
        <v>0</v>
      </c>
      <c r="V44" s="13">
        <f t="shared" si="1"/>
        <v>-2.542233794817391</v>
      </c>
      <c r="W44" s="13">
        <f t="shared" si="2"/>
        <v>0.44009784523347523</v>
      </c>
      <c r="X44" s="13">
        <f t="shared" si="3"/>
        <v>-0.73196327988347532</v>
      </c>
      <c r="Z44" t="str">
        <f t="shared" si="4"/>
        <v>25.7014925373135,3.14752505691305E-15</v>
      </c>
      <c r="AA44" t="str">
        <f t="shared" si="5"/>
        <v>25.6489923325667,0.0866191920331219</v>
      </c>
      <c r="AB44" t="str">
        <f t="shared" si="6"/>
        <v>25.6505363557309,0.0480495208391401</v>
      </c>
      <c r="AC44" t="str">
        <f t="shared" si="7"/>
        <v>25.6527602335587,0.285019637130339</v>
      </c>
    </row>
    <row r="45" spans="2:29" x14ac:dyDescent="0.2">
      <c r="B45" s="3">
        <v>43</v>
      </c>
      <c r="C45" s="6">
        <v>26.328358208955201</v>
      </c>
      <c r="D45" s="6">
        <v>3.2242939607401999E-15</v>
      </c>
      <c r="E45" s="8">
        <v>1.5707963267948934</v>
      </c>
      <c r="F45" s="7"/>
      <c r="G45" s="10">
        <v>26.275241041448499</v>
      </c>
      <c r="H45" s="10">
        <v>0.114424315783814</v>
      </c>
      <c r="I45" s="10">
        <v>1.57847748322515</v>
      </c>
      <c r="K45" s="10">
        <v>26.277383534874801</v>
      </c>
      <c r="L45" s="10">
        <v>4.3234514902518E-2</v>
      </c>
      <c r="M45" s="10">
        <v>1.500915002143</v>
      </c>
      <c r="N45" s="13"/>
      <c r="O45" s="10">
        <v>26.2795747521062</v>
      </c>
      <c r="P45" s="10">
        <v>0.29302773434385199</v>
      </c>
      <c r="Q45" s="10">
        <v>1.4931910735262199</v>
      </c>
      <c r="R45" s="13"/>
      <c r="S45" s="8">
        <v>1.5707963267948934</v>
      </c>
      <c r="T45" s="17"/>
      <c r="U45" s="13">
        <f t="shared" si="0"/>
        <v>0</v>
      </c>
      <c r="V45" s="13">
        <f t="shared" si="1"/>
        <v>0.44009784523347523</v>
      </c>
      <c r="W45" s="13">
        <f t="shared" si="2"/>
        <v>-4.0039049693370119</v>
      </c>
      <c r="X45" s="13">
        <f t="shared" si="3"/>
        <v>-4.4464534803388291</v>
      </c>
      <c r="Z45" t="str">
        <f t="shared" si="4"/>
        <v>26.3283582089552,3.2242939607402E-15</v>
      </c>
      <c r="AA45" t="str">
        <f t="shared" si="5"/>
        <v>26.2752410414485,0.114424315783814</v>
      </c>
      <c r="AB45" t="str">
        <f t="shared" si="6"/>
        <v>26.2773835348748,0.043234514902518</v>
      </c>
      <c r="AC45" t="str">
        <f t="shared" si="7"/>
        <v>26.2795747521062,0.293027734343852</v>
      </c>
    </row>
    <row r="46" spans="2:29" x14ac:dyDescent="0.2">
      <c r="B46" s="3">
        <v>44</v>
      </c>
      <c r="C46" s="6">
        <v>26.955223880597</v>
      </c>
      <c r="D46" s="6">
        <v>3.3010628645673499E-15</v>
      </c>
      <c r="E46" s="8">
        <v>1.5707963267948934</v>
      </c>
      <c r="F46" s="7"/>
      <c r="G46" s="10">
        <v>26.9020882205925</v>
      </c>
      <c r="H46" s="10">
        <v>0.109609309847192</v>
      </c>
      <c r="I46" s="10">
        <v>1.500915002143</v>
      </c>
      <c r="K46" s="10">
        <v>26.902719211535398</v>
      </c>
      <c r="L46" s="10">
        <v>8.7005073254593501E-2</v>
      </c>
      <c r="M46" s="10">
        <v>1.46214007071707</v>
      </c>
      <c r="N46" s="13"/>
      <c r="O46" s="10">
        <v>26.904553698079301</v>
      </c>
      <c r="P46" s="10">
        <v>0.341626987149108</v>
      </c>
      <c r="Q46" s="10">
        <v>1.4540768421974599</v>
      </c>
      <c r="R46" s="13"/>
      <c r="S46" s="8">
        <v>1.5707963267948934</v>
      </c>
      <c r="T46" s="17"/>
      <c r="U46" s="13">
        <f t="shared" si="0"/>
        <v>0</v>
      </c>
      <c r="V46" s="13">
        <f t="shared" si="1"/>
        <v>-4.0039049693370119</v>
      </c>
      <c r="W46" s="13">
        <f t="shared" si="2"/>
        <v>-6.2255448909519853</v>
      </c>
      <c r="X46" s="13">
        <f t="shared" si="3"/>
        <v>-6.6875338543751601</v>
      </c>
      <c r="Z46" t="str">
        <f t="shared" si="4"/>
        <v>26.955223880597,3.30106286456735E-15</v>
      </c>
      <c r="AA46" t="str">
        <f t="shared" si="5"/>
        <v>26.9020882205925,0.109609309847192</v>
      </c>
      <c r="AB46" t="str">
        <f t="shared" si="6"/>
        <v>26.9027192115354,0.0870050732545935</v>
      </c>
      <c r="AC46" t="str">
        <f t="shared" si="7"/>
        <v>26.9045536980793,0.341626987149108</v>
      </c>
    </row>
    <row r="47" spans="2:29" x14ac:dyDescent="0.2">
      <c r="B47" s="3">
        <v>45</v>
      </c>
      <c r="C47" s="6">
        <v>27.582089552238799</v>
      </c>
      <c r="D47" s="6">
        <v>3.3778317683944902E-15</v>
      </c>
      <c r="E47" s="8">
        <v>1.5707963267948934</v>
      </c>
      <c r="F47" s="7"/>
      <c r="G47" s="10">
        <v>27.527423897253001</v>
      </c>
      <c r="H47" s="10">
        <v>0.15337986819926799</v>
      </c>
      <c r="I47" s="10">
        <v>1.46214007071707</v>
      </c>
      <c r="K47" s="10">
        <v>27.5258880773223</v>
      </c>
      <c r="L47" s="10">
        <v>0.15498400378969099</v>
      </c>
      <c r="M47" s="10">
        <v>1.4763521444543899</v>
      </c>
      <c r="N47" s="13"/>
      <c r="O47" s="10">
        <v>27.527154182398402</v>
      </c>
      <c r="P47" s="10">
        <v>0.41462840637224502</v>
      </c>
      <c r="Q47" s="10">
        <v>1.4699948290926801</v>
      </c>
      <c r="R47" s="13"/>
      <c r="S47" s="8">
        <v>1.5707963267948934</v>
      </c>
      <c r="T47" s="17"/>
      <c r="U47" s="13">
        <f t="shared" si="0"/>
        <v>0</v>
      </c>
      <c r="V47" s="13">
        <f t="shared" si="1"/>
        <v>-6.2255448909519853</v>
      </c>
      <c r="W47" s="13">
        <f t="shared" si="2"/>
        <v>-5.4112530476748351</v>
      </c>
      <c r="X47" s="13">
        <f t="shared" si="3"/>
        <v>-5.7755003869344907</v>
      </c>
      <c r="Z47" t="str">
        <f t="shared" si="4"/>
        <v>27.5820895522388,3.37783176839449E-15</v>
      </c>
      <c r="AA47" t="str">
        <f t="shared" si="5"/>
        <v>27.527423897253,0.153379868199268</v>
      </c>
      <c r="AB47" t="str">
        <f t="shared" si="6"/>
        <v>27.5258880773223,0.154984003789691</v>
      </c>
      <c r="AC47" t="str">
        <f t="shared" si="7"/>
        <v>27.5271541823984,0.414628406372245</v>
      </c>
    </row>
    <row r="48" spans="2:29" x14ac:dyDescent="0.2">
      <c r="B48" s="3">
        <v>46</v>
      </c>
      <c r="C48" s="6">
        <v>28.208955223880601</v>
      </c>
      <c r="D48" s="6">
        <v>3.4546006722216398E-15</v>
      </c>
      <c r="E48" s="8">
        <v>1.5707963267948934</v>
      </c>
      <c r="F48" s="7"/>
      <c r="G48" s="10">
        <v>28.150592763039999</v>
      </c>
      <c r="H48" s="10">
        <v>0.22135879873436501</v>
      </c>
      <c r="I48" s="10">
        <v>1.4763521444543899</v>
      </c>
      <c r="K48" s="10">
        <v>28.149960098447998</v>
      </c>
      <c r="L48" s="10">
        <v>0.21409984541497901</v>
      </c>
      <c r="M48" s="10">
        <v>1.5505651347205101</v>
      </c>
      <c r="N48" s="13"/>
      <c r="O48" s="10">
        <v>28.1508377769714</v>
      </c>
      <c r="P48" s="10">
        <v>0.47771044932720202</v>
      </c>
      <c r="Q48" s="10">
        <v>1.5201042092006201</v>
      </c>
      <c r="R48" s="13"/>
      <c r="S48" s="8">
        <v>1.5707963267948934</v>
      </c>
      <c r="T48" s="17"/>
      <c r="U48" s="13">
        <f t="shared" si="0"/>
        <v>0</v>
      </c>
      <c r="V48" s="13">
        <f t="shared" si="1"/>
        <v>-5.4112530476748351</v>
      </c>
      <c r="W48" s="13">
        <f t="shared" si="2"/>
        <v>-1.1591619203806898</v>
      </c>
      <c r="X48" s="13">
        <f t="shared" si="3"/>
        <v>-2.9044443927327297</v>
      </c>
      <c r="Z48" t="str">
        <f t="shared" si="4"/>
        <v>28.2089552238806,3.45460067222164E-15</v>
      </c>
      <c r="AA48" t="str">
        <f t="shared" si="5"/>
        <v>28.15059276304,0.221358798734365</v>
      </c>
      <c r="AB48" t="str">
        <f t="shared" si="6"/>
        <v>28.149960098448,0.214099845414979</v>
      </c>
      <c r="AC48" t="str">
        <f t="shared" si="7"/>
        <v>28.1508377769714,0.477710449327202</v>
      </c>
    </row>
    <row r="49" spans="2:29" x14ac:dyDescent="0.2">
      <c r="B49" s="3">
        <v>47</v>
      </c>
      <c r="C49" s="6">
        <v>28.835820895522399</v>
      </c>
      <c r="D49" s="6">
        <v>3.5313695760487899E-15</v>
      </c>
      <c r="E49" s="8">
        <v>1.5707963267948934</v>
      </c>
      <c r="F49" s="7"/>
      <c r="G49" s="10">
        <v>28.774664784165601</v>
      </c>
      <c r="H49" s="10">
        <v>0.28047464035965303</v>
      </c>
      <c r="I49" s="10">
        <v>1.5505651347205101</v>
      </c>
      <c r="K49" s="10">
        <v>28.776697486050701</v>
      </c>
      <c r="L49" s="10">
        <v>0.22678122009799001</v>
      </c>
      <c r="M49" s="10">
        <v>1.49658239643091</v>
      </c>
      <c r="N49" s="13"/>
      <c r="O49" s="10">
        <v>28.776898195602602</v>
      </c>
      <c r="P49" s="10">
        <v>0.50947398984417502</v>
      </c>
      <c r="Q49" s="10">
        <v>1.4906282142129901</v>
      </c>
      <c r="R49" s="13"/>
      <c r="S49" s="8">
        <v>1.5707963267948934</v>
      </c>
      <c r="T49" s="17"/>
      <c r="U49" s="13">
        <f t="shared" si="0"/>
        <v>0</v>
      </c>
      <c r="V49" s="13">
        <f t="shared" si="1"/>
        <v>-1.1591619203806898</v>
      </c>
      <c r="W49" s="13">
        <f t="shared" si="2"/>
        <v>-4.2521449909340436</v>
      </c>
      <c r="X49" s="13">
        <f t="shared" si="3"/>
        <v>-4.5932945024726965</v>
      </c>
      <c r="Z49" t="str">
        <f t="shared" si="4"/>
        <v>28.8358208955224,3.53136957604879E-15</v>
      </c>
      <c r="AA49" t="str">
        <f t="shared" si="5"/>
        <v>28.7746647841656,0.280474640359653</v>
      </c>
      <c r="AB49" t="str">
        <f t="shared" si="6"/>
        <v>28.7766974860507,0.22678122009799</v>
      </c>
      <c r="AC49" t="str">
        <f t="shared" si="7"/>
        <v>28.7768981956026,0.509473989844175</v>
      </c>
    </row>
    <row r="50" spans="2:29" x14ac:dyDescent="0.2">
      <c r="B50" s="3">
        <v>48</v>
      </c>
      <c r="C50" s="6">
        <v>29.462686567164202</v>
      </c>
      <c r="D50" s="6">
        <v>3.6081384798759404E-15</v>
      </c>
      <c r="E50" s="8">
        <v>1.5707963267948934</v>
      </c>
      <c r="F50" s="7"/>
      <c r="G50" s="10">
        <v>29.4014021717683</v>
      </c>
      <c r="H50" s="10">
        <v>0.29315601504266398</v>
      </c>
      <c r="I50" s="10">
        <v>1.49658239643091</v>
      </c>
      <c r="K50" s="10">
        <v>29.401837653506899</v>
      </c>
      <c r="L50" s="10">
        <v>0.273260692080117</v>
      </c>
      <c r="M50" s="10">
        <v>1.5683451819840999</v>
      </c>
      <c r="N50" s="13"/>
      <c r="O50" s="10">
        <v>29.401750536157301</v>
      </c>
      <c r="P50" s="10">
        <v>0.55967481440238098</v>
      </c>
      <c r="Q50" s="10">
        <v>1.5422698108689199</v>
      </c>
      <c r="R50" s="13"/>
      <c r="S50" s="8">
        <v>1.5707963267948934</v>
      </c>
      <c r="T50" s="17"/>
      <c r="U50" s="13">
        <f t="shared" si="0"/>
        <v>0</v>
      </c>
      <c r="V50" s="13">
        <f t="shared" si="1"/>
        <v>-4.2521449909340436</v>
      </c>
      <c r="W50" s="13">
        <f t="shared" si="2"/>
        <v>-0.14044025263386367</v>
      </c>
      <c r="X50" s="13">
        <f t="shared" si="3"/>
        <v>-1.634448966771012</v>
      </c>
      <c r="Z50" t="str">
        <f t="shared" si="4"/>
        <v>29.4626865671642,3.60813847987594E-15</v>
      </c>
      <c r="AA50" t="str">
        <f t="shared" si="5"/>
        <v>29.4014021717683,0.293156015042664</v>
      </c>
      <c r="AB50" t="str">
        <f t="shared" si="6"/>
        <v>29.4018376535069,0.273260692080117</v>
      </c>
      <c r="AC50" t="str">
        <f t="shared" si="7"/>
        <v>29.4017505361573,0.559674814402381</v>
      </c>
    </row>
    <row r="51" spans="2:29" x14ac:dyDescent="0.2">
      <c r="B51" s="3">
        <v>49</v>
      </c>
      <c r="C51" s="6">
        <v>30.089552238806</v>
      </c>
      <c r="D51" s="6">
        <v>3.6849073837030896E-15</v>
      </c>
      <c r="E51" s="8">
        <v>1.5707963267948934</v>
      </c>
      <c r="F51" s="7"/>
      <c r="G51" s="10">
        <v>30.026542339224498</v>
      </c>
      <c r="H51" s="10">
        <v>0.33963548702479102</v>
      </c>
      <c r="I51" s="10">
        <v>1.5683451819840999</v>
      </c>
      <c r="K51" s="10">
        <v>30.028701442010401</v>
      </c>
      <c r="L51" s="10">
        <v>0.27479722907961501</v>
      </c>
      <c r="M51" s="10">
        <v>1.5569010249814199</v>
      </c>
      <c r="N51" s="13"/>
      <c r="O51" s="10">
        <v>30.028361165328999</v>
      </c>
      <c r="P51" s="10">
        <v>0.577554682744438</v>
      </c>
      <c r="Q51" s="10">
        <v>1.53762364176189</v>
      </c>
      <c r="R51" s="13"/>
      <c r="S51" s="8">
        <v>1.5707963267948934</v>
      </c>
      <c r="T51" s="17"/>
      <c r="U51" s="13">
        <f t="shared" si="0"/>
        <v>0</v>
      </c>
      <c r="V51" s="13">
        <f t="shared" si="1"/>
        <v>-0.14044025263386367</v>
      </c>
      <c r="W51" s="13">
        <f t="shared" si="2"/>
        <v>-0.79614214897251279</v>
      </c>
      <c r="X51" s="13">
        <f t="shared" si="3"/>
        <v>-1.9006548475078895</v>
      </c>
      <c r="Z51" t="str">
        <f t="shared" si="4"/>
        <v>30.089552238806,3.68490738370309E-15</v>
      </c>
      <c r="AA51" t="str">
        <f t="shared" si="5"/>
        <v>30.0265423392245,0.339635487024791</v>
      </c>
      <c r="AB51" t="str">
        <f t="shared" si="6"/>
        <v>30.0287014420104,0.274797229079615</v>
      </c>
      <c r="AC51" t="str">
        <f t="shared" si="7"/>
        <v>30.028361165329,0.577554682744438</v>
      </c>
    </row>
    <row r="52" spans="2:29" x14ac:dyDescent="0.2">
      <c r="B52" s="3">
        <v>50</v>
      </c>
      <c r="C52" s="6">
        <v>30.716417910447799</v>
      </c>
      <c r="D52" s="6">
        <v>3.7616762875302302E-15</v>
      </c>
      <c r="E52" s="8">
        <v>1.5707963267948934</v>
      </c>
      <c r="F52" s="7"/>
      <c r="G52" s="10">
        <v>30.653406127728001</v>
      </c>
      <c r="H52" s="10">
        <v>0.34117202402428898</v>
      </c>
      <c r="I52" s="10">
        <v>1.5569010249814199</v>
      </c>
      <c r="K52" s="10">
        <v>30.655506597198102</v>
      </c>
      <c r="L52" s="10">
        <v>0.28350743648364701</v>
      </c>
      <c r="M52" s="10">
        <v>1.5591850866529999</v>
      </c>
      <c r="N52" s="13"/>
      <c r="O52" s="10">
        <v>30.6548819586333</v>
      </c>
      <c r="P52" s="10">
        <v>0.59834568657443798</v>
      </c>
      <c r="Q52" s="10">
        <v>1.5390976474707601</v>
      </c>
      <c r="R52" s="13"/>
      <c r="S52" s="8">
        <v>1.5707963267948934</v>
      </c>
      <c r="T52" s="17"/>
      <c r="U52" s="13">
        <f t="shared" si="0"/>
        <v>0</v>
      </c>
      <c r="V52" s="13">
        <f t="shared" si="1"/>
        <v>-0.79614214897251279</v>
      </c>
      <c r="W52" s="13">
        <f t="shared" si="2"/>
        <v>-0.6652750550433818</v>
      </c>
      <c r="X52" s="13">
        <f t="shared" si="3"/>
        <v>-1.8162005414114484</v>
      </c>
      <c r="Z52" t="str">
        <f t="shared" si="4"/>
        <v>30.7164179104478,3.76167628753023E-15</v>
      </c>
      <c r="AA52" t="str">
        <f t="shared" si="5"/>
        <v>30.653406127728,0.341172024024289</v>
      </c>
      <c r="AB52" t="str">
        <f t="shared" si="6"/>
        <v>30.6555065971981,0.283507436483647</v>
      </c>
      <c r="AC52" t="str">
        <f t="shared" si="7"/>
        <v>30.6548819586333,0.598345686574438</v>
      </c>
    </row>
    <row r="53" spans="2:29" x14ac:dyDescent="0.2">
      <c r="B53" s="3">
        <v>51</v>
      </c>
      <c r="C53" s="6">
        <v>31.343283582089601</v>
      </c>
      <c r="D53" s="6">
        <v>3.8384451913573803E-15</v>
      </c>
      <c r="E53" s="8">
        <v>1.5707963267948934</v>
      </c>
      <c r="F53" s="7"/>
      <c r="G53" s="10">
        <v>31.280211282915701</v>
      </c>
      <c r="H53" s="10">
        <v>0.34988223142832198</v>
      </c>
      <c r="I53" s="10">
        <v>1.5591850866529999</v>
      </c>
      <c r="K53" s="10">
        <v>31.282330012018399</v>
      </c>
      <c r="L53" s="10">
        <v>0.29078596078169</v>
      </c>
      <c r="M53" s="10">
        <v>1.49269860205524</v>
      </c>
      <c r="N53" s="13"/>
      <c r="O53" s="10">
        <v>31.2814327173664</v>
      </c>
      <c r="P53" s="10">
        <v>0.61821317292656397</v>
      </c>
      <c r="Q53" s="10">
        <v>1.48643547980769</v>
      </c>
      <c r="R53" s="13"/>
      <c r="S53" s="8">
        <v>1.5707963267948934</v>
      </c>
      <c r="T53" s="17"/>
      <c r="U53" s="13">
        <f t="shared" si="0"/>
        <v>0</v>
      </c>
      <c r="V53" s="13">
        <f t="shared" si="1"/>
        <v>-0.6652750550433818</v>
      </c>
      <c r="W53" s="13">
        <f t="shared" si="2"/>
        <v>-4.4746700171565807</v>
      </c>
      <c r="X53" s="13">
        <f t="shared" si="3"/>
        <v>-4.8335204885156848</v>
      </c>
      <c r="Z53" t="str">
        <f t="shared" si="4"/>
        <v>31.3432835820896,3.83844519135738E-15</v>
      </c>
      <c r="AA53" t="str">
        <f t="shared" si="5"/>
        <v>31.2802112829157,0.349882231428322</v>
      </c>
      <c r="AB53" t="str">
        <f t="shared" si="6"/>
        <v>31.2823300120184,0.29078596078169</v>
      </c>
      <c r="AC53" t="str">
        <f t="shared" si="7"/>
        <v>31.2814327173664,0.618213172926564</v>
      </c>
    </row>
    <row r="54" spans="2:29" x14ac:dyDescent="0.2">
      <c r="B54" s="3">
        <v>52</v>
      </c>
      <c r="C54" s="6">
        <v>31.9701492537314</v>
      </c>
      <c r="D54" s="6">
        <v>3.9152140951845304E-15</v>
      </c>
      <c r="E54" s="8">
        <v>1.5707963267948934</v>
      </c>
      <c r="F54" s="7"/>
      <c r="G54" s="10">
        <v>31.907034697736002</v>
      </c>
      <c r="H54" s="10">
        <v>0.35716075572636402</v>
      </c>
      <c r="I54" s="10">
        <v>1.5941806042344999</v>
      </c>
      <c r="K54" s="10">
        <v>31.907284948459498</v>
      </c>
      <c r="L54" s="10">
        <v>0.33969299198201502</v>
      </c>
      <c r="M54" s="10">
        <v>1.5941806042344999</v>
      </c>
      <c r="N54" s="13"/>
      <c r="O54" s="10">
        <v>31.906069087674901</v>
      </c>
      <c r="P54" s="10">
        <v>0.67103338847549998</v>
      </c>
      <c r="Q54" s="10">
        <v>1.57553130007775</v>
      </c>
      <c r="R54" s="13"/>
      <c r="S54" s="8">
        <v>1.5707963267948934</v>
      </c>
      <c r="T54" s="17"/>
      <c r="U54" s="13">
        <f t="shared" si="0"/>
        <v>0</v>
      </c>
      <c r="V54" s="13">
        <f t="shared" si="1"/>
        <v>1.3398204042524375</v>
      </c>
      <c r="W54" s="13">
        <f t="shared" si="2"/>
        <v>1.3398204042524375</v>
      </c>
      <c r="X54" s="13">
        <f t="shared" si="3"/>
        <v>0.27129398521488429</v>
      </c>
      <c r="Z54" t="str">
        <f t="shared" si="4"/>
        <v>31.9701492537314,3.91521409518453E-15</v>
      </c>
      <c r="AA54" t="str">
        <f t="shared" si="5"/>
        <v>31.907034697736,0.357160755726364</v>
      </c>
      <c r="AB54" t="str">
        <f t="shared" si="6"/>
        <v>31.9072849484595,0.339692991982015</v>
      </c>
      <c r="AC54" t="str">
        <f t="shared" si="7"/>
        <v>31.9060690876749,0.6710333884755</v>
      </c>
    </row>
    <row r="55" spans="2:29" x14ac:dyDescent="0.2">
      <c r="B55" s="3">
        <v>53</v>
      </c>
      <c r="C55" s="6">
        <v>32.597014925373202</v>
      </c>
      <c r="D55" s="6">
        <v>3.9919829990116796E-15</v>
      </c>
      <c r="E55" s="8">
        <v>1.5707963267948934</v>
      </c>
      <c r="F55" s="7"/>
      <c r="G55" s="10">
        <v>32.5337289844556</v>
      </c>
      <c r="H55" s="10">
        <v>0.34250329087186798</v>
      </c>
      <c r="I55" s="10">
        <v>1.7261534798557501</v>
      </c>
      <c r="K55" s="10">
        <v>32.533979235178997</v>
      </c>
      <c r="L55" s="10">
        <v>0.32503552712751899</v>
      </c>
      <c r="M55" s="10">
        <v>1.7261534798557501</v>
      </c>
      <c r="N55" s="13"/>
      <c r="O55" s="10">
        <v>32.5329277321745</v>
      </c>
      <c r="P55" s="10">
        <v>0.66806520735945896</v>
      </c>
      <c r="Q55" s="10">
        <v>1.70868972927431</v>
      </c>
      <c r="R55" s="13"/>
      <c r="S55" s="8">
        <v>1.5707963267948934</v>
      </c>
      <c r="T55" s="17"/>
      <c r="U55" s="13">
        <f t="shared" si="0"/>
        <v>0</v>
      </c>
      <c r="V55" s="13">
        <f t="shared" si="1"/>
        <v>8.9013091875550234</v>
      </c>
      <c r="W55" s="13">
        <f t="shared" si="2"/>
        <v>8.9013091875550234</v>
      </c>
      <c r="X55" s="13">
        <f t="shared" si="3"/>
        <v>7.9007099847693683</v>
      </c>
      <c r="Z55" t="str">
        <f t="shared" si="4"/>
        <v>32.5970149253732,3.99198299901168E-15</v>
      </c>
      <c r="AA55" t="str">
        <f t="shared" si="5"/>
        <v>32.5337289844556,0.342503290871868</v>
      </c>
      <c r="AB55" t="str">
        <f t="shared" si="6"/>
        <v>32.533979235179,0.325035527127519</v>
      </c>
      <c r="AC55" t="str">
        <f t="shared" si="7"/>
        <v>32.5329277321745,0.668065207359459</v>
      </c>
    </row>
    <row r="56" spans="2:29" x14ac:dyDescent="0.2">
      <c r="B56" s="3">
        <v>54</v>
      </c>
      <c r="C56" s="6">
        <v>33.223880597014897</v>
      </c>
      <c r="D56" s="6">
        <v>4.0687519028388202E-15</v>
      </c>
      <c r="E56" s="8">
        <v>1.5707963267948934</v>
      </c>
      <c r="F56" s="7"/>
      <c r="G56" s="10">
        <v>33.153044893086999</v>
      </c>
      <c r="H56" s="10">
        <v>0.245506509487528</v>
      </c>
      <c r="I56" s="10">
        <v>1.4920472868102801</v>
      </c>
      <c r="K56" s="10">
        <v>33.153295143810503</v>
      </c>
      <c r="L56" s="10">
        <v>0.22803874574317901</v>
      </c>
      <c r="M56" s="10">
        <v>1.4920472868102801</v>
      </c>
      <c r="N56" s="13"/>
      <c r="O56" s="10">
        <v>33.153843044418501</v>
      </c>
      <c r="P56" s="10">
        <v>0.58189824557105696</v>
      </c>
      <c r="Q56" s="10">
        <v>1.48329398937186</v>
      </c>
      <c r="R56" s="13"/>
      <c r="S56" s="8">
        <v>1.5707963267948934</v>
      </c>
      <c r="T56" s="17"/>
      <c r="U56" s="13">
        <f t="shared" si="0"/>
        <v>0</v>
      </c>
      <c r="V56" s="13">
        <f t="shared" si="1"/>
        <v>-4.5119876318253107</v>
      </c>
      <c r="W56" s="13">
        <f t="shared" si="2"/>
        <v>-4.5119876318253107</v>
      </c>
      <c r="X56" s="13">
        <f t="shared" si="3"/>
        <v>-5.0135146318694579</v>
      </c>
      <c r="Z56" t="str">
        <f t="shared" si="4"/>
        <v>33.2238805970149,4.06875190283882E-15</v>
      </c>
      <c r="AA56" t="str">
        <f t="shared" si="5"/>
        <v>33.153044893087,0.245506509487528</v>
      </c>
      <c r="AB56" t="str">
        <f t="shared" si="6"/>
        <v>33.1532951438105,0.228038745743179</v>
      </c>
      <c r="AC56" t="str">
        <f t="shared" si="7"/>
        <v>33.1538430444185,0.581898245571057</v>
      </c>
    </row>
    <row r="57" spans="2:29" x14ac:dyDescent="0.2">
      <c r="B57" s="3">
        <v>55</v>
      </c>
      <c r="C57" s="6">
        <v>33.8507462686567</v>
      </c>
      <c r="D57" s="6">
        <v>4.1455208066659703E-15</v>
      </c>
      <c r="E57" s="8">
        <v>1.5707963267948934</v>
      </c>
      <c r="F57" s="7"/>
      <c r="G57" s="10">
        <v>33.777967843078798</v>
      </c>
      <c r="H57" s="10">
        <v>0.29482057296313102</v>
      </c>
      <c r="I57" s="10">
        <v>1.6213521325711899</v>
      </c>
      <c r="K57" s="10">
        <v>33.778218093802302</v>
      </c>
      <c r="L57" s="10">
        <v>0.27735280921878203</v>
      </c>
      <c r="M57" s="10">
        <v>1.6213521325711899</v>
      </c>
      <c r="N57" s="13"/>
      <c r="O57" s="10">
        <v>33.7783103985442</v>
      </c>
      <c r="P57" s="10">
        <v>0.63668048643542097</v>
      </c>
      <c r="Q57" s="10">
        <v>1.60804476459284</v>
      </c>
      <c r="R57" s="13"/>
      <c r="S57" s="8">
        <v>1.5707963267948934</v>
      </c>
      <c r="T57" s="17"/>
      <c r="U57" s="13">
        <f t="shared" si="0"/>
        <v>0</v>
      </c>
      <c r="V57" s="13">
        <f t="shared" si="1"/>
        <v>2.8966343008648967</v>
      </c>
      <c r="W57" s="13">
        <f t="shared" si="2"/>
        <v>2.8966343008648967</v>
      </c>
      <c r="X57" s="13">
        <f t="shared" si="3"/>
        <v>2.1341782792779047</v>
      </c>
      <c r="Z57" t="str">
        <f t="shared" si="4"/>
        <v>33.8507462686567,4.14552080666597E-15</v>
      </c>
      <c r="AA57" t="str">
        <f t="shared" si="5"/>
        <v>33.7779678430788,0.294820572963131</v>
      </c>
      <c r="AB57" t="str">
        <f t="shared" si="6"/>
        <v>33.7782180938023,0.277352809218782</v>
      </c>
      <c r="AC57" t="str">
        <f t="shared" si="7"/>
        <v>33.7783103985442,0.636680486435421</v>
      </c>
    </row>
    <row r="58" spans="2:29" x14ac:dyDescent="0.2">
      <c r="B58" s="3">
        <v>56</v>
      </c>
      <c r="C58" s="6">
        <v>34.477611940298502</v>
      </c>
      <c r="D58" s="6">
        <v>4.2222897104931204E-15</v>
      </c>
      <c r="E58" s="8">
        <v>1.5707963267948934</v>
      </c>
      <c r="F58" s="7"/>
      <c r="G58" s="10">
        <v>34.404032585639598</v>
      </c>
      <c r="H58" s="10">
        <v>0.26314237217481601</v>
      </c>
      <c r="I58" s="10">
        <v>1.6213521325711899</v>
      </c>
      <c r="K58" s="10">
        <v>34.404282836363102</v>
      </c>
      <c r="L58" s="10">
        <v>0.24567460843046701</v>
      </c>
      <c r="M58" s="10">
        <v>1.56254013581127</v>
      </c>
      <c r="N58" s="13"/>
      <c r="O58" s="10">
        <v>34.404741249292201</v>
      </c>
      <c r="P58" s="10">
        <v>0.613336118506976</v>
      </c>
      <c r="Q58" s="10">
        <v>1.5559720213415</v>
      </c>
      <c r="R58" s="13"/>
      <c r="S58" s="8">
        <v>1.5707963267948934</v>
      </c>
      <c r="T58" s="17"/>
      <c r="U58" s="13">
        <f t="shared" si="0"/>
        <v>0</v>
      </c>
      <c r="V58" s="13">
        <f t="shared" si="1"/>
        <v>2.8966343008648967</v>
      </c>
      <c r="W58" s="13">
        <f t="shared" si="2"/>
        <v>-0.47304489821558471</v>
      </c>
      <c r="X58" s="13">
        <f t="shared" si="3"/>
        <v>-0.84937013669221306</v>
      </c>
      <c r="Z58" t="str">
        <f t="shared" si="4"/>
        <v>34.4776119402985,4.22228971049312E-15</v>
      </c>
      <c r="AA58" t="str">
        <f t="shared" si="5"/>
        <v>34.4040325856396,0.263142372174816</v>
      </c>
      <c r="AB58" t="str">
        <f t="shared" si="6"/>
        <v>34.4042828363631,0.245674608430467</v>
      </c>
      <c r="AC58" t="str">
        <f t="shared" si="7"/>
        <v>34.4047412492922,0.613336118506976</v>
      </c>
    </row>
    <row r="59" spans="2:29" x14ac:dyDescent="0.2">
      <c r="B59" s="3">
        <v>57</v>
      </c>
      <c r="C59" s="6">
        <v>35.104477611940297</v>
      </c>
      <c r="D59" s="6">
        <v>4.2990586143202697E-15</v>
      </c>
      <c r="E59" s="8">
        <v>1.5707963267948934</v>
      </c>
      <c r="F59" s="7"/>
      <c r="G59" s="10">
        <v>35.030097328200398</v>
      </c>
      <c r="H59" s="10">
        <v>0.23146417138650199</v>
      </c>
      <c r="I59" s="10">
        <v>1.56254013581127</v>
      </c>
      <c r="K59" s="10">
        <v>35.031127143074301</v>
      </c>
      <c r="L59" s="10">
        <v>0.25085007233883699</v>
      </c>
      <c r="M59" s="10">
        <v>1.6022553331455101</v>
      </c>
      <c r="N59" s="13"/>
      <c r="O59" s="10">
        <v>35.031538042185403</v>
      </c>
      <c r="P59" s="10">
        <v>0.62262862633927696</v>
      </c>
      <c r="Q59" s="10">
        <v>1.5892753147802601</v>
      </c>
      <c r="R59" s="13"/>
      <c r="S59" s="8">
        <v>1.5707963267948934</v>
      </c>
      <c r="T59" s="17"/>
      <c r="U59" s="13">
        <f t="shared" si="0"/>
        <v>0</v>
      </c>
      <c r="V59" s="13">
        <f t="shared" si="1"/>
        <v>-0.47304489821558471</v>
      </c>
      <c r="W59" s="13">
        <f t="shared" si="2"/>
        <v>1.8024682915655854</v>
      </c>
      <c r="X59" s="13">
        <f t="shared" si="3"/>
        <v>1.0587680212344635</v>
      </c>
      <c r="Z59" t="str">
        <f t="shared" si="4"/>
        <v>35.1044776119403,4.29905861432027E-15</v>
      </c>
      <c r="AA59" t="str">
        <f t="shared" si="5"/>
        <v>35.0300973282004,0.231464171386502</v>
      </c>
      <c r="AB59" t="str">
        <f t="shared" si="6"/>
        <v>35.0311271430743,0.250850072338837</v>
      </c>
      <c r="AC59" t="str">
        <f t="shared" si="7"/>
        <v>35.0315380421854,0.622628626339277</v>
      </c>
    </row>
    <row r="60" spans="2:29" x14ac:dyDescent="0.2">
      <c r="B60" s="3">
        <v>58</v>
      </c>
      <c r="C60" s="6">
        <v>35.731343283582099</v>
      </c>
      <c r="D60" s="6">
        <v>4.3758275181474103E-15</v>
      </c>
      <c r="E60" s="8">
        <v>1.5707963267948934</v>
      </c>
      <c r="F60" s="7"/>
      <c r="G60" s="10">
        <v>35.656941634911597</v>
      </c>
      <c r="H60" s="10">
        <v>0.236639635294872</v>
      </c>
      <c r="I60" s="10">
        <v>1.6022553331455101</v>
      </c>
      <c r="K60" s="10">
        <v>35.657682645511301</v>
      </c>
      <c r="L60" s="10">
        <v>0.23113275383930401</v>
      </c>
      <c r="M60" s="10">
        <v>1.58744251602536</v>
      </c>
      <c r="N60" s="13"/>
      <c r="O60" s="10">
        <v>35.658296688022901</v>
      </c>
      <c r="P60" s="10">
        <v>0.61104544237492397</v>
      </c>
      <c r="Q60" s="10">
        <v>1.5691219421679501</v>
      </c>
      <c r="R60" s="13"/>
      <c r="S60" s="8">
        <v>1.5707963267948934</v>
      </c>
      <c r="T60" s="17"/>
      <c r="U60" s="13">
        <f t="shared" si="0"/>
        <v>0</v>
      </c>
      <c r="V60" s="13">
        <f t="shared" si="1"/>
        <v>1.8024682915655854</v>
      </c>
      <c r="W60" s="13">
        <f t="shared" si="2"/>
        <v>0.95375638788185801</v>
      </c>
      <c r="X60" s="13">
        <f t="shared" si="3"/>
        <v>-9.5935172405441319E-2</v>
      </c>
      <c r="Z60" t="str">
        <f t="shared" si="4"/>
        <v>35.7313432835821,4.37582751814741E-15</v>
      </c>
      <c r="AA60" t="str">
        <f t="shared" si="5"/>
        <v>35.6569416349116,0.236639635294872</v>
      </c>
      <c r="AB60" t="str">
        <f t="shared" si="6"/>
        <v>35.6576826455113,0.231132753839304</v>
      </c>
      <c r="AC60" t="str">
        <f t="shared" si="7"/>
        <v>35.6582966880229,0.611045442374924</v>
      </c>
    </row>
    <row r="61" spans="2:29" x14ac:dyDescent="0.2">
      <c r="B61" s="3">
        <v>59</v>
      </c>
      <c r="C61" s="6">
        <v>36.358208955223901</v>
      </c>
      <c r="D61" s="6">
        <v>4.4525964219745603E-15</v>
      </c>
      <c r="E61" s="8">
        <v>1.5707963267948934</v>
      </c>
      <c r="F61" s="7"/>
      <c r="G61" s="10">
        <v>36.283497137348597</v>
      </c>
      <c r="H61" s="10">
        <v>0.21692231679533899</v>
      </c>
      <c r="I61" s="10">
        <v>1.4155472728559699</v>
      </c>
      <c r="K61" s="10">
        <v>36.284461468293898</v>
      </c>
      <c r="L61" s="10">
        <v>0.22069831115237101</v>
      </c>
      <c r="M61" s="10">
        <v>1.4155472728559699</v>
      </c>
      <c r="N61" s="13"/>
      <c r="O61" s="10">
        <v>36.285161480935997</v>
      </c>
      <c r="P61" s="10">
        <v>0.612095056128238</v>
      </c>
      <c r="Q61" s="10">
        <v>1.42089696361692</v>
      </c>
      <c r="R61" s="13"/>
      <c r="S61" s="8">
        <v>1.5707963267948934</v>
      </c>
      <c r="T61" s="17"/>
      <c r="U61" s="13">
        <f t="shared" si="0"/>
        <v>0</v>
      </c>
      <c r="V61" s="13">
        <f t="shared" si="1"/>
        <v>-8.8951155640991875</v>
      </c>
      <c r="W61" s="13">
        <f t="shared" si="2"/>
        <v>-8.8951155640991875</v>
      </c>
      <c r="X61" s="13">
        <f t="shared" si="3"/>
        <v>-8.5886008617966194</v>
      </c>
      <c r="Z61" t="str">
        <f t="shared" si="4"/>
        <v>36.3582089552239,4.45259642197456E-15</v>
      </c>
      <c r="AA61" t="str">
        <f t="shared" si="5"/>
        <v>36.2834971373486,0.216922316795339</v>
      </c>
      <c r="AB61" t="str">
        <f t="shared" si="6"/>
        <v>36.2844614682939,0.220698311152371</v>
      </c>
      <c r="AC61" t="str">
        <f t="shared" si="7"/>
        <v>36.285161480936,0.612095056128238</v>
      </c>
    </row>
    <row r="62" spans="2:29" x14ac:dyDescent="0.2">
      <c r="B62" s="3">
        <v>60</v>
      </c>
      <c r="C62" s="6">
        <v>36.985074626865703</v>
      </c>
      <c r="D62" s="6">
        <v>4.5293653258017096E-15</v>
      </c>
      <c r="E62" s="8">
        <v>1.5707963267948934</v>
      </c>
      <c r="F62" s="7"/>
      <c r="G62" s="10">
        <v>36.902823527628499</v>
      </c>
      <c r="H62" s="10">
        <v>0.31385215010717099</v>
      </c>
      <c r="I62" s="10">
        <v>1.6566300985003</v>
      </c>
      <c r="K62" s="10">
        <v>36.9037878585737</v>
      </c>
      <c r="L62" s="10">
        <v>0.31762814446420301</v>
      </c>
      <c r="M62" s="10">
        <v>1.6566300985003</v>
      </c>
      <c r="N62" s="13"/>
      <c r="O62" s="10">
        <v>36.904997551087099</v>
      </c>
      <c r="P62" s="10">
        <v>0.70571031355208302</v>
      </c>
      <c r="Q62" s="10">
        <v>1.65274444436631</v>
      </c>
      <c r="R62" s="13"/>
      <c r="S62" s="8">
        <v>1.5707963267948934</v>
      </c>
      <c r="T62" s="17"/>
      <c r="U62" s="13">
        <f t="shared" si="0"/>
        <v>0</v>
      </c>
      <c r="V62" s="13">
        <f t="shared" si="1"/>
        <v>4.9179128584092151</v>
      </c>
      <c r="W62" s="13">
        <f t="shared" si="2"/>
        <v>4.9179128584092151</v>
      </c>
      <c r="X62" s="13">
        <f t="shared" si="3"/>
        <v>4.6952812758840272</v>
      </c>
      <c r="Z62" t="str">
        <f t="shared" si="4"/>
        <v>36.9850746268657,4.52936532580171E-15</v>
      </c>
      <c r="AA62" t="str">
        <f t="shared" si="5"/>
        <v>36.9028235276285,0.313852150107171</v>
      </c>
      <c r="AB62" t="str">
        <f t="shared" si="6"/>
        <v>36.9037878585737,0.317628144464203</v>
      </c>
      <c r="AC62" t="str">
        <f t="shared" si="7"/>
        <v>36.9049975510871,0.705710313552083</v>
      </c>
    </row>
    <row r="63" spans="2:29" x14ac:dyDescent="0.2">
      <c r="B63" s="3">
        <v>61</v>
      </c>
      <c r="C63" s="6">
        <v>37.611940298507498</v>
      </c>
      <c r="D63" s="6">
        <v>4.6061342296288597E-15</v>
      </c>
      <c r="E63" s="8">
        <v>1.5707963267948934</v>
      </c>
      <c r="F63" s="7"/>
      <c r="G63" s="10">
        <v>37.527381420187602</v>
      </c>
      <c r="H63" s="10">
        <v>0.26011194983810598</v>
      </c>
      <c r="I63" s="10">
        <v>1.6566300985003</v>
      </c>
      <c r="K63" s="10">
        <v>37.528345751132903</v>
      </c>
      <c r="L63" s="10">
        <v>0.263887944195137</v>
      </c>
      <c r="M63" s="10">
        <v>1.6407461631731901</v>
      </c>
      <c r="N63" s="13"/>
      <c r="O63" s="10">
        <v>37.529759544074302</v>
      </c>
      <c r="P63" s="10">
        <v>0.65439732882589696</v>
      </c>
      <c r="Q63" s="10">
        <v>1.62929181859429</v>
      </c>
      <c r="R63" s="13"/>
      <c r="S63" s="8">
        <v>1.5707963267948934</v>
      </c>
      <c r="T63" s="17"/>
      <c r="U63" s="13">
        <f t="shared" si="0"/>
        <v>0</v>
      </c>
      <c r="V63" s="13">
        <f t="shared" si="1"/>
        <v>4.9179128584092151</v>
      </c>
      <c r="W63" s="13">
        <f t="shared" si="2"/>
        <v>4.0078304021070705</v>
      </c>
      <c r="X63" s="13">
        <f t="shared" si="3"/>
        <v>3.3515448006475372</v>
      </c>
      <c r="Z63" t="str">
        <f t="shared" si="4"/>
        <v>37.6119402985075,4.60613422962886E-15</v>
      </c>
      <c r="AA63" t="str">
        <f t="shared" si="5"/>
        <v>37.5273814201876,0.260111949838106</v>
      </c>
      <c r="AB63" t="str">
        <f t="shared" si="6"/>
        <v>37.5283457511329,0.263887944195137</v>
      </c>
      <c r="AC63" t="str">
        <f t="shared" si="7"/>
        <v>37.5297595440743,0.654397328825897</v>
      </c>
    </row>
    <row r="64" spans="2:29" x14ac:dyDescent="0.2">
      <c r="B64" s="3">
        <v>62</v>
      </c>
      <c r="C64" s="6">
        <v>38.238805970149201</v>
      </c>
      <c r="D64" s="6">
        <v>4.6829031334560097E-15</v>
      </c>
      <c r="E64" s="8">
        <v>1.5707963267948934</v>
      </c>
      <c r="F64" s="7"/>
      <c r="G64" s="10">
        <v>38.151939312746798</v>
      </c>
      <c r="H64" s="10">
        <v>0.20637174956904</v>
      </c>
      <c r="I64" s="10">
        <v>1.6407461631731901</v>
      </c>
      <c r="K64" s="10">
        <v>38.1536784275293</v>
      </c>
      <c r="L64" s="10">
        <v>0.22007454311903499</v>
      </c>
      <c r="M64" s="10">
        <v>1.56599247015618</v>
      </c>
      <c r="N64" s="13"/>
      <c r="O64" s="10">
        <v>38.155553041286403</v>
      </c>
      <c r="P64" s="10">
        <v>0.61774942124599297</v>
      </c>
      <c r="Q64" s="10">
        <v>1.55360295626887</v>
      </c>
      <c r="R64" s="13"/>
      <c r="S64" s="8">
        <v>1.5707963267948934</v>
      </c>
      <c r="T64" s="17"/>
      <c r="U64" s="13">
        <f t="shared" si="0"/>
        <v>0</v>
      </c>
      <c r="V64" s="13">
        <f t="shared" si="1"/>
        <v>4.0078304021070705</v>
      </c>
      <c r="W64" s="13">
        <f t="shared" si="2"/>
        <v>-0.27524071078418033</v>
      </c>
      <c r="X64" s="13">
        <f t="shared" si="3"/>
        <v>-0.98510756674576683</v>
      </c>
      <c r="Z64" t="str">
        <f t="shared" si="4"/>
        <v>38.2388059701492,4.68290313345601E-15</v>
      </c>
      <c r="AA64" t="str">
        <f t="shared" si="5"/>
        <v>38.1519393127468,0.20637174956904</v>
      </c>
      <c r="AB64" t="str">
        <f t="shared" si="6"/>
        <v>38.1536784275293,0.220074543119035</v>
      </c>
      <c r="AC64" t="str">
        <f t="shared" si="7"/>
        <v>38.1555530412864,0.617749421245993</v>
      </c>
    </row>
    <row r="65" spans="2:29" x14ac:dyDescent="0.2">
      <c r="B65" s="3">
        <v>63</v>
      </c>
      <c r="C65" s="6">
        <v>38.865671641791003</v>
      </c>
      <c r="D65" s="6">
        <v>4.7596720372831503E-15</v>
      </c>
      <c r="E65" s="8">
        <v>1.5707963267948934</v>
      </c>
      <c r="F65" s="7"/>
      <c r="G65" s="10">
        <v>38.777271989143202</v>
      </c>
      <c r="H65" s="10">
        <v>0.16255834849293799</v>
      </c>
      <c r="I65" s="10">
        <v>1.56599247015618</v>
      </c>
      <c r="K65" s="10">
        <v>38.780536866083303</v>
      </c>
      <c r="L65" s="10">
        <v>0.22308590435508699</v>
      </c>
      <c r="M65" s="10">
        <v>1.6240895495811001</v>
      </c>
      <c r="N65" s="13"/>
      <c r="O65" s="10">
        <v>38.782326060706303</v>
      </c>
      <c r="P65" s="10">
        <v>0.62852682400201598</v>
      </c>
      <c r="Q65" s="10">
        <v>1.6107702798907599</v>
      </c>
      <c r="R65" s="13"/>
      <c r="S65" s="8">
        <v>1.5707963267948934</v>
      </c>
      <c r="T65" s="17"/>
      <c r="U65" s="13">
        <f t="shared" si="0"/>
        <v>0</v>
      </c>
      <c r="V65" s="13">
        <f t="shared" si="1"/>
        <v>-0.27524071078418033</v>
      </c>
      <c r="W65" s="13">
        <f t="shared" si="2"/>
        <v>3.0534767423000697</v>
      </c>
      <c r="X65" s="13">
        <f t="shared" si="3"/>
        <v>2.290338802847061</v>
      </c>
      <c r="Z65" t="str">
        <f t="shared" si="4"/>
        <v>38.865671641791,4.75967203728315E-15</v>
      </c>
      <c r="AA65" t="str">
        <f t="shared" si="5"/>
        <v>38.7772719891432,0.162558348492938</v>
      </c>
      <c r="AB65" t="str">
        <f t="shared" si="6"/>
        <v>38.7805368660833,0.223085904355087</v>
      </c>
      <c r="AC65" t="str">
        <f t="shared" si="7"/>
        <v>38.7823260607063,0.628526824002016</v>
      </c>
    </row>
    <row r="66" spans="2:29" x14ac:dyDescent="0.2">
      <c r="B66" s="3">
        <v>64</v>
      </c>
      <c r="C66" s="6">
        <v>39.492537313432798</v>
      </c>
      <c r="D66" s="6">
        <v>4.8364409411102996E-15</v>
      </c>
      <c r="E66" s="8">
        <v>1.5707963267948934</v>
      </c>
      <c r="F66" s="7"/>
      <c r="G66" s="10">
        <v>39.404130427697197</v>
      </c>
      <c r="H66" s="10">
        <v>0.16556970972898999</v>
      </c>
      <c r="I66" s="10">
        <v>1.6240895495811001</v>
      </c>
      <c r="K66" s="10">
        <v>39.406512546615197</v>
      </c>
      <c r="L66" s="10">
        <v>0.18969402412102401</v>
      </c>
      <c r="M66" s="10">
        <v>1.60960186960371</v>
      </c>
      <c r="N66" s="13"/>
      <c r="O66" s="10">
        <v>39.408690959402698</v>
      </c>
      <c r="P66" s="10">
        <v>0.60347519802657201</v>
      </c>
      <c r="Q66" s="10">
        <v>1.6037868187125901</v>
      </c>
      <c r="R66" s="13"/>
      <c r="S66" s="8">
        <v>1.5707963267948934</v>
      </c>
      <c r="T66" s="17"/>
      <c r="U66" s="13">
        <f t="shared" si="0"/>
        <v>0</v>
      </c>
      <c r="V66" s="13">
        <f t="shared" si="1"/>
        <v>3.0534767423000697</v>
      </c>
      <c r="W66" s="13">
        <f t="shared" si="2"/>
        <v>2.2233938246594298</v>
      </c>
      <c r="X66" s="13">
        <f t="shared" si="3"/>
        <v>1.8902159509444718</v>
      </c>
      <c r="Z66" t="str">
        <f t="shared" si="4"/>
        <v>39.4925373134328,4.8364409411103E-15</v>
      </c>
      <c r="AA66" t="str">
        <f t="shared" si="5"/>
        <v>39.4041304276972,0.16556970972899</v>
      </c>
      <c r="AB66" t="str">
        <f t="shared" si="6"/>
        <v>39.4065125466152,0.189694024121024</v>
      </c>
      <c r="AC66" t="str">
        <f t="shared" si="7"/>
        <v>39.4086909594027,0.603475198026572</v>
      </c>
    </row>
    <row r="67" spans="2:29" x14ac:dyDescent="0.2">
      <c r="B67" s="3">
        <v>65</v>
      </c>
      <c r="C67" s="6">
        <v>40.119402985074601</v>
      </c>
      <c r="D67" s="6">
        <v>4.9132098449374497E-15</v>
      </c>
      <c r="E67" s="8">
        <v>1.5707963267948934</v>
      </c>
      <c r="F67" s="7"/>
      <c r="G67" s="10">
        <v>40.030106108229099</v>
      </c>
      <c r="H67" s="10">
        <v>0.13217782949492701</v>
      </c>
      <c r="I67" s="10">
        <v>1.60960186960371</v>
      </c>
      <c r="K67" s="10">
        <v>40.032906288331198</v>
      </c>
      <c r="L67" s="10">
        <v>0.16537426627016599</v>
      </c>
      <c r="M67" s="10">
        <v>1.51158901818418</v>
      </c>
      <c r="N67" s="13"/>
      <c r="O67" s="10">
        <v>40.035215530286301</v>
      </c>
      <c r="P67" s="10">
        <v>0.58279834231615302</v>
      </c>
      <c r="Q67" s="10">
        <v>1.5140488663562599</v>
      </c>
      <c r="R67" s="13"/>
      <c r="S67" s="8">
        <v>1.5707963267948934</v>
      </c>
      <c r="T67" s="17"/>
      <c r="U67" s="13">
        <f t="shared" si="0"/>
        <v>0</v>
      </c>
      <c r="V67" s="13">
        <f t="shared" si="1"/>
        <v>2.2233938246594298</v>
      </c>
      <c r="W67" s="13">
        <f t="shared" si="2"/>
        <v>-3.3923288997224579</v>
      </c>
      <c r="X67" s="13">
        <f t="shared" si="3"/>
        <v>-3.2513899812193094</v>
      </c>
      <c r="Z67" t="str">
        <f t="shared" si="4"/>
        <v>40.1194029850746,4.91320984493745E-15</v>
      </c>
      <c r="AA67" t="str">
        <f t="shared" si="5"/>
        <v>40.0301061082291,0.132177829494927</v>
      </c>
      <c r="AB67" t="str">
        <f t="shared" si="6"/>
        <v>40.0329062883312,0.165374266270166</v>
      </c>
      <c r="AC67" t="str">
        <f t="shared" si="7"/>
        <v>40.0352155302863,0.582798342316153</v>
      </c>
    </row>
    <row r="68" spans="2:29" x14ac:dyDescent="0.2">
      <c r="B68" s="3">
        <v>66</v>
      </c>
      <c r="C68" s="6">
        <v>40.746268656716403</v>
      </c>
      <c r="D68" s="6">
        <v>4.9899787487645998E-15</v>
      </c>
      <c r="E68" s="8">
        <v>1.5707963267948934</v>
      </c>
      <c r="F68" s="7"/>
      <c r="G68" s="10">
        <v>40.656499849945099</v>
      </c>
      <c r="H68" s="10">
        <v>0.10785807164406901</v>
      </c>
      <c r="I68" s="10">
        <v>1.51158901818418</v>
      </c>
      <c r="K68" s="10">
        <v>40.658673540409303</v>
      </c>
      <c r="L68" s="10">
        <v>0.20246761485974599</v>
      </c>
      <c r="M68" s="10">
        <v>1.5301656180737</v>
      </c>
      <c r="N68" s="13"/>
      <c r="O68" s="10">
        <v>40.661072133066099</v>
      </c>
      <c r="P68" s="10">
        <v>0.61835228780375895</v>
      </c>
      <c r="Q68" s="10">
        <v>1.5179383634782599</v>
      </c>
      <c r="R68" s="13"/>
      <c r="S68" s="8">
        <v>1.5707963267948934</v>
      </c>
      <c r="T68" s="17"/>
      <c r="U68" s="13">
        <f t="shared" ref="U68:U131" si="8">E68-S68</f>
        <v>0</v>
      </c>
      <c r="V68" s="13">
        <f t="shared" ref="V68:V131" si="9">(I68-S68)*180/PI()</f>
        <v>-3.3923288997224579</v>
      </c>
      <c r="W68" s="13">
        <f t="shared" ref="W68:W131" si="10">(M68-S68)*180/PI()</f>
        <v>-2.3279681283497711</v>
      </c>
      <c r="X68" s="13">
        <f t="shared" ref="X68:X131" si="11">(Q68-S68)*180/PI()</f>
        <v>-3.0285382117004271</v>
      </c>
      <c r="Z68" t="str">
        <f t="shared" ref="Z68:Z131" si="12">C68&amp;","&amp;D68</f>
        <v>40.7462686567164,4.9899787487646E-15</v>
      </c>
      <c r="AA68" t="str">
        <f t="shared" ref="AA68:AA131" si="13">G68&amp;","&amp;H68</f>
        <v>40.6564998499451,0.107858071644069</v>
      </c>
      <c r="AB68" t="str">
        <f t="shared" ref="AB68:AB131" si="14">K68&amp;","&amp;L68</f>
        <v>40.6586735404093,0.202467614859746</v>
      </c>
      <c r="AC68" t="str">
        <f t="shared" ref="AC68:AC131" si="15">O68&amp;","&amp;P68</f>
        <v>40.6610721330661,0.618352287803759</v>
      </c>
    </row>
    <row r="69" spans="2:29" x14ac:dyDescent="0.2">
      <c r="B69" s="3">
        <v>67</v>
      </c>
      <c r="C69" s="6">
        <v>41.373134328358198</v>
      </c>
      <c r="D69" s="6">
        <v>5.0667476525917404E-15</v>
      </c>
      <c r="E69" s="8">
        <v>1.5707963267948934</v>
      </c>
      <c r="F69" s="7"/>
      <c r="G69" s="10">
        <v>41.282267102023198</v>
      </c>
      <c r="H69" s="10">
        <v>0.14495142023364899</v>
      </c>
      <c r="I69" s="10">
        <v>1.5301656180737</v>
      </c>
      <c r="K69" s="10">
        <v>41.285021851226197</v>
      </c>
      <c r="L69" s="10">
        <v>0.22793060407361099</v>
      </c>
      <c r="M69" s="10">
        <v>1.44224506081186</v>
      </c>
      <c r="N69" s="13"/>
      <c r="O69" s="10">
        <v>41.287062288433802</v>
      </c>
      <c r="P69" s="10">
        <v>0.65147170304069102</v>
      </c>
      <c r="Q69" s="10">
        <v>1.42359828448271</v>
      </c>
      <c r="R69" s="13"/>
      <c r="S69" s="8">
        <v>1.5707963267948934</v>
      </c>
      <c r="T69" s="17"/>
      <c r="U69" s="13">
        <f t="shared" si="8"/>
        <v>0</v>
      </c>
      <c r="V69" s="13">
        <f t="shared" si="9"/>
        <v>-2.3279681283497711</v>
      </c>
      <c r="W69" s="13">
        <f t="shared" si="10"/>
        <v>-7.3654449918914855</v>
      </c>
      <c r="X69" s="13">
        <f t="shared" si="11"/>
        <v>-8.4338265770762266</v>
      </c>
      <c r="Z69" t="str">
        <f t="shared" si="12"/>
        <v>41.3731343283582,5.06674765259174E-15</v>
      </c>
      <c r="AA69" t="str">
        <f t="shared" si="13"/>
        <v>41.2822671020232,0.144951420233649</v>
      </c>
      <c r="AB69" t="str">
        <f t="shared" si="14"/>
        <v>41.2850218512262,0.227930604073611</v>
      </c>
      <c r="AC69" t="str">
        <f t="shared" si="15"/>
        <v>41.2870622884338,0.651471703040691</v>
      </c>
    </row>
    <row r="70" spans="2:29" x14ac:dyDescent="0.2">
      <c r="B70" s="3">
        <v>68</v>
      </c>
      <c r="C70" s="6">
        <v>42</v>
      </c>
      <c r="D70" s="6">
        <v>5.1435165564188896E-15</v>
      </c>
      <c r="E70" s="8">
        <v>1.5707963267948934</v>
      </c>
      <c r="F70" s="7"/>
      <c r="G70" s="10">
        <v>41.908615412840099</v>
      </c>
      <c r="H70" s="10">
        <v>0.17041440944751399</v>
      </c>
      <c r="I70" s="10">
        <v>1.08162339130023</v>
      </c>
      <c r="K70" s="10">
        <v>41.906715040125</v>
      </c>
      <c r="L70" s="10">
        <v>0.30829321453252301</v>
      </c>
      <c r="M70" s="10">
        <v>1.08162339130023</v>
      </c>
      <c r="N70" s="13"/>
      <c r="O70" s="10">
        <v>41.907148981613403</v>
      </c>
      <c r="P70" s="10">
        <v>0.743412244829874</v>
      </c>
      <c r="Q70" s="10">
        <v>1.08842429000728</v>
      </c>
      <c r="R70" s="13"/>
      <c r="S70" s="8">
        <v>1.5707963267948934</v>
      </c>
      <c r="T70" s="17"/>
      <c r="U70" s="13">
        <f t="shared" si="8"/>
        <v>0</v>
      </c>
      <c r="V70" s="13">
        <f t="shared" si="9"/>
        <v>-28.027544655869477</v>
      </c>
      <c r="W70" s="13">
        <f t="shared" si="10"/>
        <v>-28.027544655869477</v>
      </c>
      <c r="X70" s="13">
        <f t="shared" si="11"/>
        <v>-27.637881863059533</v>
      </c>
      <c r="Z70" t="str">
        <f t="shared" si="12"/>
        <v>42,5.14351655641889E-15</v>
      </c>
      <c r="AA70" t="str">
        <f t="shared" si="13"/>
        <v>41.9086154128401,0.170414409447514</v>
      </c>
      <c r="AB70" t="str">
        <f t="shared" si="14"/>
        <v>41.906715040125,0.308293214532523</v>
      </c>
      <c r="AC70" t="str">
        <f t="shared" si="15"/>
        <v>41.9071489816134,0.743412244829874</v>
      </c>
    </row>
    <row r="71" spans="2:29" x14ac:dyDescent="0.2">
      <c r="B71" s="3">
        <v>69</v>
      </c>
      <c r="C71" s="6">
        <v>42</v>
      </c>
      <c r="D71" s="6">
        <v>5.1435165564188896E-15</v>
      </c>
      <c r="E71" s="8">
        <v>3.5527136788005009E-15</v>
      </c>
      <c r="F71" s="7"/>
      <c r="G71" s="10">
        <v>41.908615412840099</v>
      </c>
      <c r="H71" s="10">
        <v>0.17041440944751399</v>
      </c>
      <c r="I71" s="10">
        <v>0.59029373906357196</v>
      </c>
      <c r="K71" s="10">
        <v>41.906715040125</v>
      </c>
      <c r="L71" s="10">
        <v>0.30829321453252301</v>
      </c>
      <c r="M71" s="10">
        <v>0.59029373906357196</v>
      </c>
      <c r="N71" s="13"/>
      <c r="O71" s="10">
        <v>41.907148981613403</v>
      </c>
      <c r="P71" s="10">
        <v>0.743412244829874</v>
      </c>
      <c r="Q71" s="10">
        <v>0.59549520551333301</v>
      </c>
      <c r="R71" s="13"/>
      <c r="S71" s="8">
        <v>3.5527136788005009E-15</v>
      </c>
      <c r="T71" s="17"/>
      <c r="U71" s="13">
        <f t="shared" si="8"/>
        <v>0</v>
      </c>
      <c r="V71" s="13">
        <f t="shared" si="9"/>
        <v>33.821339921339167</v>
      </c>
      <c r="W71" s="13">
        <f t="shared" si="10"/>
        <v>33.821339921339167</v>
      </c>
      <c r="X71" s="13">
        <f t="shared" si="11"/>
        <v>34.119361996189369</v>
      </c>
      <c r="Z71" t="str">
        <f t="shared" si="12"/>
        <v>42,5.14351655641889E-15</v>
      </c>
      <c r="AA71" t="str">
        <f t="shared" si="13"/>
        <v>41.9086154128401,0.170414409447514</v>
      </c>
      <c r="AB71" t="str">
        <f t="shared" si="14"/>
        <v>41.906715040125,0.308293214532523</v>
      </c>
      <c r="AC71" t="str">
        <f t="shared" si="15"/>
        <v>41.9071489816134,0.743412244829874</v>
      </c>
    </row>
    <row r="72" spans="2:29" x14ac:dyDescent="0.2">
      <c r="B72" s="3">
        <v>70</v>
      </c>
      <c r="C72" s="6">
        <v>42</v>
      </c>
      <c r="D72" s="6">
        <v>1.31250000000001</v>
      </c>
      <c r="E72" s="8">
        <v>3.5527136788005009E-15</v>
      </c>
      <c r="F72" s="7"/>
      <c r="G72" s="10">
        <v>42.639159578560502</v>
      </c>
      <c r="H72" s="10">
        <v>1.2608095084515101</v>
      </c>
      <c r="I72" s="10">
        <v>8.6738822892266906E-2</v>
      </c>
      <c r="K72" s="10">
        <v>42.637259205845297</v>
      </c>
      <c r="L72" s="10">
        <v>1.39868831353652</v>
      </c>
      <c r="M72" s="10">
        <v>8.6738822892266906E-2</v>
      </c>
      <c r="N72" s="13"/>
      <c r="O72" s="10">
        <v>42.643354892777197</v>
      </c>
      <c r="P72" s="10">
        <v>1.8299927095758299</v>
      </c>
      <c r="Q72" s="10">
        <v>9.3248869187303393E-2</v>
      </c>
      <c r="R72" s="13"/>
      <c r="S72" s="8">
        <v>3.5527136788005009E-15</v>
      </c>
      <c r="T72" s="17"/>
      <c r="U72" s="13">
        <f t="shared" si="8"/>
        <v>0</v>
      </c>
      <c r="V72" s="13">
        <f t="shared" si="9"/>
        <v>4.9697684716594184</v>
      </c>
      <c r="W72" s="13">
        <f t="shared" si="10"/>
        <v>4.9697684716594184</v>
      </c>
      <c r="X72" s="13">
        <f t="shared" si="11"/>
        <v>5.3427666487997874</v>
      </c>
      <c r="Z72" t="str">
        <f t="shared" si="12"/>
        <v>42,1.31250000000001</v>
      </c>
      <c r="AA72" t="str">
        <f t="shared" si="13"/>
        <v>42.6391595785605,1.26080950845151</v>
      </c>
      <c r="AB72" t="str">
        <f t="shared" si="14"/>
        <v>42.6372592058453,1.39868831353652</v>
      </c>
      <c r="AC72" t="str">
        <f t="shared" si="15"/>
        <v>42.6433548927772,1.82999270957583</v>
      </c>
    </row>
    <row r="73" spans="2:29" x14ac:dyDescent="0.2">
      <c r="B73" s="3">
        <v>71</v>
      </c>
      <c r="C73" s="6">
        <v>42</v>
      </c>
      <c r="D73" s="6">
        <v>2.6250000000000102</v>
      </c>
      <c r="E73" s="8">
        <v>3.5527136788005009E-15</v>
      </c>
      <c r="F73" s="7"/>
      <c r="G73" s="10">
        <v>42.752861583184</v>
      </c>
      <c r="H73" s="10">
        <v>2.5683752254021401</v>
      </c>
      <c r="I73" s="10">
        <v>-6.4838565089720801E-2</v>
      </c>
      <c r="K73" s="10">
        <v>42.750961210468802</v>
      </c>
      <c r="L73" s="10">
        <v>2.7062540304871399</v>
      </c>
      <c r="M73" s="10">
        <v>-6.4838565089720801E-2</v>
      </c>
      <c r="N73" s="13"/>
      <c r="O73" s="10">
        <v>42.765566741248698</v>
      </c>
      <c r="P73" s="10">
        <v>3.13679051876177</v>
      </c>
      <c r="Q73" s="10">
        <v>-3.2850835613340797E-2</v>
      </c>
      <c r="R73" s="13"/>
      <c r="S73" s="8">
        <v>3.5527136788005009E-15</v>
      </c>
      <c r="T73" s="17"/>
      <c r="U73" s="13">
        <f t="shared" si="8"/>
        <v>0</v>
      </c>
      <c r="V73" s="13">
        <f t="shared" si="9"/>
        <v>-3.7149761293254837</v>
      </c>
      <c r="W73" s="13">
        <f t="shared" si="10"/>
        <v>-3.7149761293254837</v>
      </c>
      <c r="X73" s="13">
        <f t="shared" si="11"/>
        <v>-1.8822142341226902</v>
      </c>
      <c r="Z73" t="str">
        <f t="shared" si="12"/>
        <v>42,2.62500000000001</v>
      </c>
      <c r="AA73" t="str">
        <f t="shared" si="13"/>
        <v>42.752861583184,2.56837522540214</v>
      </c>
      <c r="AB73" t="str">
        <f t="shared" si="14"/>
        <v>42.7509612104688,2.70625403048714</v>
      </c>
      <c r="AC73" t="str">
        <f t="shared" si="15"/>
        <v>42.7655667412487,3.13679051876177</v>
      </c>
    </row>
    <row r="74" spans="2:29" x14ac:dyDescent="0.2">
      <c r="B74" s="3">
        <v>72</v>
      </c>
      <c r="C74" s="6">
        <v>42</v>
      </c>
      <c r="D74" s="6">
        <v>3.9375000000000102</v>
      </c>
      <c r="E74" s="8">
        <v>3.5527136788005009E-15</v>
      </c>
      <c r="F74" s="7"/>
      <c r="G74" s="10">
        <v>42.6678205816971</v>
      </c>
      <c r="H74" s="10">
        <v>3.8781172908738499</v>
      </c>
      <c r="I74" s="10">
        <v>4.3031925960548702E-2</v>
      </c>
      <c r="K74" s="10">
        <v>42.665920208981902</v>
      </c>
      <c r="L74" s="10">
        <v>4.0159960959588599</v>
      </c>
      <c r="M74" s="10">
        <v>4.3031925960548702E-2</v>
      </c>
      <c r="N74" s="13"/>
      <c r="O74" s="10">
        <v>42.722457774186402</v>
      </c>
      <c r="P74" s="10">
        <v>4.4485823722807698</v>
      </c>
      <c r="Q74" s="10">
        <v>5.3130903976715098E-2</v>
      </c>
      <c r="R74" s="13"/>
      <c r="S74" s="8">
        <v>3.5527136788005009E-15</v>
      </c>
      <c r="T74" s="17"/>
      <c r="U74" s="13">
        <f t="shared" si="8"/>
        <v>0</v>
      </c>
      <c r="V74" s="13">
        <f t="shared" si="9"/>
        <v>2.465547741858678</v>
      </c>
      <c r="W74" s="13">
        <f t="shared" si="10"/>
        <v>2.465547741858678</v>
      </c>
      <c r="X74" s="13">
        <f t="shared" si="11"/>
        <v>3.0441765595804138</v>
      </c>
      <c r="Z74" t="str">
        <f t="shared" si="12"/>
        <v>42,3.93750000000001</v>
      </c>
      <c r="AA74" t="str">
        <f t="shared" si="13"/>
        <v>42.6678205816971,3.87811729087385</v>
      </c>
      <c r="AB74" t="str">
        <f t="shared" si="14"/>
        <v>42.6659202089819,4.01599609595886</v>
      </c>
      <c r="AC74" t="str">
        <f t="shared" si="15"/>
        <v>42.7224577741864,4.44858237228077</v>
      </c>
    </row>
    <row r="75" spans="2:29" x14ac:dyDescent="0.2">
      <c r="B75" s="3">
        <v>73</v>
      </c>
      <c r="C75" s="6">
        <v>42</v>
      </c>
      <c r="D75" s="6">
        <v>5.2500000000000098</v>
      </c>
      <c r="E75" s="8">
        <v>3.5527136788005009E-15</v>
      </c>
      <c r="F75" s="7"/>
      <c r="G75" s="10">
        <v>42.724282555209903</v>
      </c>
      <c r="H75" s="10">
        <v>5.1894022696435398</v>
      </c>
      <c r="I75" s="10">
        <v>4.3031925960548702E-2</v>
      </c>
      <c r="K75" s="10">
        <v>42.722382182494798</v>
      </c>
      <c r="L75" s="10">
        <v>5.3272810747285497</v>
      </c>
      <c r="M75" s="10">
        <v>5.4842320174342499E-2</v>
      </c>
      <c r="N75" s="13"/>
      <c r="O75" s="10">
        <v>42.792159281536897</v>
      </c>
      <c r="P75" s="10">
        <v>5.7592302845261099</v>
      </c>
      <c r="Q75" s="10">
        <v>6.09806679621617E-2</v>
      </c>
      <c r="R75" s="13"/>
      <c r="S75" s="8">
        <v>3.5527136788005009E-15</v>
      </c>
      <c r="T75" s="17"/>
      <c r="U75" s="13">
        <f t="shared" si="8"/>
        <v>0</v>
      </c>
      <c r="V75" s="13">
        <f t="shared" si="9"/>
        <v>2.465547741858678</v>
      </c>
      <c r="W75" s="13">
        <f t="shared" si="10"/>
        <v>3.1422334846947906</v>
      </c>
      <c r="X75" s="13">
        <f t="shared" si="11"/>
        <v>3.4939349061202964</v>
      </c>
      <c r="Z75" t="str">
        <f t="shared" si="12"/>
        <v>42,5.25000000000001</v>
      </c>
      <c r="AA75" t="str">
        <f t="shared" si="13"/>
        <v>42.7242825552099,5.18940226964354</v>
      </c>
      <c r="AB75" t="str">
        <f t="shared" si="14"/>
        <v>42.7223821824948,5.32728107472855</v>
      </c>
      <c r="AC75" t="str">
        <f t="shared" si="15"/>
        <v>42.7921592815369,5.75923028452611</v>
      </c>
    </row>
    <row r="76" spans="2:29" x14ac:dyDescent="0.2">
      <c r="B76" s="3">
        <v>74</v>
      </c>
      <c r="C76" s="6">
        <v>42</v>
      </c>
      <c r="D76" s="6">
        <v>6.5625000000000098</v>
      </c>
      <c r="E76" s="8">
        <v>3.5527136788005009E-15</v>
      </c>
      <c r="F76" s="7"/>
      <c r="G76" s="10">
        <v>42.780744528722799</v>
      </c>
      <c r="H76" s="10">
        <v>6.5006872484132296</v>
      </c>
      <c r="I76" s="10">
        <v>-5.7875308187243603E-2</v>
      </c>
      <c r="K76" s="10">
        <v>42.7943266507408</v>
      </c>
      <c r="L76" s="10">
        <v>6.6378077793358301</v>
      </c>
      <c r="M76" s="10">
        <v>-5.7875308187243603E-2</v>
      </c>
      <c r="N76" s="13"/>
      <c r="O76" s="10">
        <v>42.872146812557801</v>
      </c>
      <c r="P76" s="10">
        <v>7.0692906819434098</v>
      </c>
      <c r="Q76" s="10">
        <v>-5.0222310446254997E-2</v>
      </c>
      <c r="R76" s="13"/>
      <c r="S76" s="8">
        <v>3.5527136788005009E-15</v>
      </c>
      <c r="T76" s="17"/>
      <c r="U76" s="13">
        <f t="shared" si="8"/>
        <v>0</v>
      </c>
      <c r="V76" s="13">
        <f t="shared" si="9"/>
        <v>-3.316010897148201</v>
      </c>
      <c r="W76" s="13">
        <f t="shared" si="10"/>
        <v>-3.316010897148201</v>
      </c>
      <c r="X76" s="13">
        <f t="shared" si="11"/>
        <v>-2.8775264259664008</v>
      </c>
      <c r="Z76" t="str">
        <f t="shared" si="12"/>
        <v>42,6.56250000000001</v>
      </c>
      <c r="AA76" t="str">
        <f t="shared" si="13"/>
        <v>42.7807445287228,6.50068724841323</v>
      </c>
      <c r="AB76" t="str">
        <f t="shared" si="14"/>
        <v>42.7943266507408,6.63780777933583</v>
      </c>
      <c r="AC76" t="str">
        <f t="shared" si="15"/>
        <v>42.8721468125578,7.06929068194341</v>
      </c>
    </row>
    <row r="77" spans="2:29" x14ac:dyDescent="0.2">
      <c r="B77" s="3">
        <v>75</v>
      </c>
      <c r="C77" s="6">
        <v>42</v>
      </c>
      <c r="D77" s="6">
        <v>7.8750000000000098</v>
      </c>
      <c r="E77" s="8">
        <v>3.5527136788005009E-15</v>
      </c>
      <c r="F77" s="7"/>
      <c r="G77" s="10">
        <v>42.704825585694103</v>
      </c>
      <c r="H77" s="10">
        <v>7.8109897188716397</v>
      </c>
      <c r="I77" s="10">
        <v>-5.7875308187243603E-2</v>
      </c>
      <c r="K77" s="10">
        <v>42.718407707712103</v>
      </c>
      <c r="L77" s="10">
        <v>7.9481102497942402</v>
      </c>
      <c r="M77" s="10">
        <v>-1.9286669842473399E-2</v>
      </c>
      <c r="N77" s="13"/>
      <c r="O77" s="10">
        <v>42.806257736704801</v>
      </c>
      <c r="P77" s="10">
        <v>8.3801357832743193</v>
      </c>
      <c r="Q77" s="10">
        <v>-1.2271883919738101E-2</v>
      </c>
      <c r="R77" s="13"/>
      <c r="S77" s="8">
        <v>3.5527136788005009E-15</v>
      </c>
      <c r="T77" s="17"/>
      <c r="U77" s="13">
        <f t="shared" si="8"/>
        <v>0</v>
      </c>
      <c r="V77" s="13">
        <f t="shared" si="9"/>
        <v>-3.316010897148201</v>
      </c>
      <c r="W77" s="13">
        <f t="shared" si="10"/>
        <v>-1.1050447828361736</v>
      </c>
      <c r="X77" s="13">
        <f t="shared" si="11"/>
        <v>-0.70312715527565817</v>
      </c>
      <c r="Z77" t="str">
        <f t="shared" si="12"/>
        <v>42,7.87500000000001</v>
      </c>
      <c r="AA77" t="str">
        <f t="shared" si="13"/>
        <v>42.7048255856941,7.81098971887164</v>
      </c>
      <c r="AB77" t="str">
        <f t="shared" si="14"/>
        <v>42.7184077077121,7.94811024979424</v>
      </c>
      <c r="AC77" t="str">
        <f t="shared" si="15"/>
        <v>42.8062577367048,8.38013578327432</v>
      </c>
    </row>
    <row r="78" spans="2:29" x14ac:dyDescent="0.2">
      <c r="B78" s="3">
        <v>76</v>
      </c>
      <c r="C78" s="6">
        <v>42</v>
      </c>
      <c r="D78" s="6">
        <v>9.1875000000000107</v>
      </c>
      <c r="E78" s="8">
        <v>3.5527136788005009E-15</v>
      </c>
      <c r="F78" s="7"/>
      <c r="G78" s="10">
        <v>42.628906642665498</v>
      </c>
      <c r="H78" s="10">
        <v>9.1212921893300507</v>
      </c>
      <c r="I78" s="10">
        <v>-1.9286669842473399E-2</v>
      </c>
      <c r="K78" s="10">
        <v>42.693095522864603</v>
      </c>
      <c r="L78" s="10">
        <v>9.2603661483514692</v>
      </c>
      <c r="M78" s="10">
        <v>-7.9753200490555606E-2</v>
      </c>
      <c r="N78" s="13"/>
      <c r="O78" s="10">
        <v>42.790151293336699</v>
      </c>
      <c r="P78" s="10">
        <v>9.6925369538323292</v>
      </c>
      <c r="Q78" s="10">
        <v>-5.2324468605008098E-2</v>
      </c>
      <c r="R78" s="13"/>
      <c r="S78" s="8">
        <v>3.5527136788005009E-15</v>
      </c>
      <c r="T78" s="17"/>
      <c r="U78" s="13">
        <f t="shared" si="8"/>
        <v>0</v>
      </c>
      <c r="V78" s="13">
        <f t="shared" si="9"/>
        <v>-1.1050447828361736</v>
      </c>
      <c r="W78" s="13">
        <f t="shared" si="10"/>
        <v>-4.5695217907697261</v>
      </c>
      <c r="X78" s="13">
        <f t="shared" si="11"/>
        <v>-2.9979712163319459</v>
      </c>
      <c r="Z78" t="str">
        <f t="shared" si="12"/>
        <v>42,9.18750000000001</v>
      </c>
      <c r="AA78" t="str">
        <f t="shared" si="13"/>
        <v>42.6289066426655,9.12129218933005</v>
      </c>
      <c r="AB78" t="str">
        <f t="shared" si="14"/>
        <v>42.6930955228646,9.26036614835147</v>
      </c>
      <c r="AC78" t="str">
        <f t="shared" si="15"/>
        <v>42.7901512933367,9.69253695383233</v>
      </c>
    </row>
    <row r="79" spans="2:29" x14ac:dyDescent="0.2">
      <c r="B79" s="3">
        <v>77</v>
      </c>
      <c r="C79" s="6">
        <v>42</v>
      </c>
      <c r="D79" s="6">
        <v>10.5</v>
      </c>
      <c r="E79" s="8">
        <v>3.5527136788005009E-15</v>
      </c>
      <c r="F79" s="7"/>
      <c r="G79" s="10">
        <v>42.603594457817998</v>
      </c>
      <c r="H79" s="10">
        <v>10.433548087887299</v>
      </c>
      <c r="I79" s="10">
        <v>3.8875122515519098E-2</v>
      </c>
      <c r="K79" s="10">
        <v>42.588530378572102</v>
      </c>
      <c r="L79" s="10">
        <v>10.5686942343448</v>
      </c>
      <c r="M79" s="10">
        <v>3.8875122515519098E-2</v>
      </c>
      <c r="N79" s="13"/>
      <c r="O79" s="10">
        <v>42.721506761372702</v>
      </c>
      <c r="P79" s="10">
        <v>11.0032406496505</v>
      </c>
      <c r="Q79" s="10">
        <v>5.3821036503452699E-2</v>
      </c>
      <c r="R79" s="13"/>
      <c r="S79" s="8">
        <v>3.5527136788005009E-15</v>
      </c>
      <c r="T79" s="17"/>
      <c r="U79" s="13">
        <f t="shared" si="8"/>
        <v>0</v>
      </c>
      <c r="V79" s="13">
        <f t="shared" si="9"/>
        <v>2.2273804481930406</v>
      </c>
      <c r="W79" s="13">
        <f t="shared" si="10"/>
        <v>2.2273804481930406</v>
      </c>
      <c r="X79" s="13">
        <f t="shared" si="11"/>
        <v>3.0837182406671775</v>
      </c>
      <c r="Z79" t="str">
        <f t="shared" si="12"/>
        <v>42,10.5</v>
      </c>
      <c r="AA79" t="str">
        <f t="shared" si="13"/>
        <v>42.603594457818,10.4335480878873</v>
      </c>
      <c r="AB79" t="str">
        <f t="shared" si="14"/>
        <v>42.5885303785721,10.5686942343448</v>
      </c>
      <c r="AC79" t="str">
        <f t="shared" si="15"/>
        <v>42.7215067613727,11.0032406496505</v>
      </c>
    </row>
    <row r="80" spans="2:29" x14ac:dyDescent="0.2">
      <c r="B80" s="3">
        <v>78</v>
      </c>
      <c r="C80" s="6">
        <v>42</v>
      </c>
      <c r="D80" s="6">
        <v>11.8125</v>
      </c>
      <c r="E80" s="8">
        <v>3.5527136788005009E-15</v>
      </c>
      <c r="F80" s="7"/>
      <c r="G80" s="10">
        <v>42.654605205308002</v>
      </c>
      <c r="H80" s="10">
        <v>11.745056438467101</v>
      </c>
      <c r="I80" s="10">
        <v>-0.17035588531586801</v>
      </c>
      <c r="K80" s="10">
        <v>42.639541126062099</v>
      </c>
      <c r="L80" s="10">
        <v>11.8802025849246</v>
      </c>
      <c r="M80" s="10">
        <v>-0.17035588531586801</v>
      </c>
      <c r="N80" s="13"/>
      <c r="O80" s="10">
        <v>42.792112772807897</v>
      </c>
      <c r="P80" s="10">
        <v>12.313840146502701</v>
      </c>
      <c r="Q80" s="10">
        <v>-0.13704033711315</v>
      </c>
      <c r="R80" s="13"/>
      <c r="S80" s="8">
        <v>3.5527136788005009E-15</v>
      </c>
      <c r="T80" s="17"/>
      <c r="U80" s="13">
        <f t="shared" si="8"/>
        <v>0</v>
      </c>
      <c r="V80" s="13">
        <f t="shared" si="9"/>
        <v>-9.7606732438141162</v>
      </c>
      <c r="W80" s="13">
        <f t="shared" si="10"/>
        <v>-9.7606732438141162</v>
      </c>
      <c r="X80" s="13">
        <f t="shared" si="11"/>
        <v>-7.8518329396337183</v>
      </c>
      <c r="Z80" t="str">
        <f t="shared" si="12"/>
        <v>42,11.8125</v>
      </c>
      <c r="AA80" t="str">
        <f t="shared" si="13"/>
        <v>42.654605205308,11.7450564384671</v>
      </c>
      <c r="AB80" t="str">
        <f t="shared" si="14"/>
        <v>42.6395411260621,11.8802025849246</v>
      </c>
      <c r="AC80" t="str">
        <f t="shared" si="15"/>
        <v>42.7921127728079,12.3138401465027</v>
      </c>
    </row>
    <row r="81" spans="2:29" x14ac:dyDescent="0.2">
      <c r="B81" s="3">
        <v>79</v>
      </c>
      <c r="C81" s="6">
        <v>42</v>
      </c>
      <c r="D81" s="6">
        <v>13.125</v>
      </c>
      <c r="E81" s="8">
        <v>3.5527136788005009E-15</v>
      </c>
      <c r="F81" s="7"/>
      <c r="G81" s="10">
        <v>42.432093020099998</v>
      </c>
      <c r="H81" s="10">
        <v>13.038557338132</v>
      </c>
      <c r="I81" s="10">
        <v>7.3274622400462106E-2</v>
      </c>
      <c r="K81" s="10">
        <v>42.417028940854102</v>
      </c>
      <c r="L81" s="10">
        <v>13.173703484589501</v>
      </c>
      <c r="M81" s="10">
        <v>7.3274622400462106E-2</v>
      </c>
      <c r="N81" s="13"/>
      <c r="O81" s="10">
        <v>42.612809782396603</v>
      </c>
      <c r="P81" s="10">
        <v>13.6140350117554</v>
      </c>
      <c r="Q81" s="10">
        <v>8.7400408994582596E-2</v>
      </c>
      <c r="R81" s="13"/>
      <c r="S81" s="8">
        <v>3.5527136788005009E-15</v>
      </c>
      <c r="T81" s="17"/>
      <c r="U81" s="13">
        <f t="shared" si="8"/>
        <v>0</v>
      </c>
      <c r="V81" s="13">
        <f t="shared" si="9"/>
        <v>4.198326608961036</v>
      </c>
      <c r="W81" s="13">
        <f t="shared" si="10"/>
        <v>4.198326608961036</v>
      </c>
      <c r="X81" s="13">
        <f t="shared" si="11"/>
        <v>5.007674563106618</v>
      </c>
      <c r="Z81" t="str">
        <f t="shared" si="12"/>
        <v>42,13.125</v>
      </c>
      <c r="AA81" t="str">
        <f t="shared" si="13"/>
        <v>42.4320930201,13.038557338132</v>
      </c>
      <c r="AB81" t="str">
        <f t="shared" si="14"/>
        <v>42.4170289408541,13.1737034845895</v>
      </c>
      <c r="AC81" t="str">
        <f t="shared" si="15"/>
        <v>42.6128097823966,13.6140350117554</v>
      </c>
    </row>
    <row r="82" spans="2:29" x14ac:dyDescent="0.2">
      <c r="B82" s="3">
        <v>80</v>
      </c>
      <c r="C82" s="6">
        <v>42</v>
      </c>
      <c r="D82" s="6">
        <v>14.4375</v>
      </c>
      <c r="E82" s="8">
        <v>3.5527136788005009E-15</v>
      </c>
      <c r="F82" s="7"/>
      <c r="G82" s="10">
        <v>42.528179923617898</v>
      </c>
      <c r="H82" s="10">
        <v>14.347535396379101</v>
      </c>
      <c r="I82" s="10">
        <v>7.3274622400462106E-2</v>
      </c>
      <c r="K82" s="10">
        <v>42.513115844372003</v>
      </c>
      <c r="L82" s="10">
        <v>14.4826815428366</v>
      </c>
      <c r="M82" s="10">
        <v>8.6641618279678201E-2</v>
      </c>
      <c r="N82" s="13"/>
      <c r="O82" s="10">
        <v>42.7273768293797</v>
      </c>
      <c r="P82" s="10">
        <v>14.921525218887201</v>
      </c>
      <c r="Q82" s="10">
        <v>0.10201707300816799</v>
      </c>
      <c r="R82" s="13"/>
      <c r="S82" s="8">
        <v>3.5527136788005009E-15</v>
      </c>
      <c r="T82" s="17"/>
      <c r="U82" s="13">
        <f t="shared" si="8"/>
        <v>0</v>
      </c>
      <c r="V82" s="13">
        <f t="shared" si="9"/>
        <v>4.198326608961036</v>
      </c>
      <c r="W82" s="13">
        <f t="shared" si="10"/>
        <v>4.9641990576088819</v>
      </c>
      <c r="X82" s="13">
        <f t="shared" si="11"/>
        <v>5.8451477216458114</v>
      </c>
      <c r="Z82" t="str">
        <f t="shared" si="12"/>
        <v>42,14.4375</v>
      </c>
      <c r="AA82" t="str">
        <f t="shared" si="13"/>
        <v>42.5281799236179,14.3475353963791</v>
      </c>
      <c r="AB82" t="str">
        <f t="shared" si="14"/>
        <v>42.513115844372,14.4826815428366</v>
      </c>
      <c r="AC82" t="str">
        <f t="shared" si="15"/>
        <v>42.7273768293797,14.9215252188872</v>
      </c>
    </row>
    <row r="83" spans="2:29" x14ac:dyDescent="0.2">
      <c r="B83" s="3">
        <v>81</v>
      </c>
      <c r="C83" s="6">
        <v>42</v>
      </c>
      <c r="D83" s="6">
        <v>15.75</v>
      </c>
      <c r="E83" s="8">
        <v>3.5527136788005009E-15</v>
      </c>
      <c r="F83" s="7"/>
      <c r="G83" s="10">
        <v>42.624266827135799</v>
      </c>
      <c r="H83" s="10">
        <v>15.6565134546262</v>
      </c>
      <c r="I83" s="10">
        <v>-0.103191427991601</v>
      </c>
      <c r="K83" s="10">
        <v>42.626690747039497</v>
      </c>
      <c r="L83" s="10">
        <v>15.7902583059691</v>
      </c>
      <c r="M83" s="10">
        <v>-0.103191427991601</v>
      </c>
      <c r="N83" s="13"/>
      <c r="O83" s="10">
        <v>42.861042102695301</v>
      </c>
      <c r="P83" s="10">
        <v>16.2272012295076</v>
      </c>
      <c r="Q83" s="10">
        <v>-7.7729176468875102E-2</v>
      </c>
      <c r="R83" s="13"/>
      <c r="S83" s="8">
        <v>3.5527136788005009E-15</v>
      </c>
      <c r="T83" s="17"/>
      <c r="U83" s="13">
        <f t="shared" si="8"/>
        <v>0</v>
      </c>
      <c r="V83" s="13">
        <f t="shared" si="9"/>
        <v>-5.9124333058470864</v>
      </c>
      <c r="W83" s="13">
        <f t="shared" si="10"/>
        <v>-5.9124333058470864</v>
      </c>
      <c r="X83" s="13">
        <f t="shared" si="11"/>
        <v>-4.4535537566943377</v>
      </c>
      <c r="Z83" t="str">
        <f t="shared" si="12"/>
        <v>42,15.75</v>
      </c>
      <c r="AA83" t="str">
        <f t="shared" si="13"/>
        <v>42.6242668271358,15.6565134546262</v>
      </c>
      <c r="AB83" t="str">
        <f t="shared" si="14"/>
        <v>42.6266907470395,15.7902583059691</v>
      </c>
      <c r="AC83" t="str">
        <f t="shared" si="15"/>
        <v>42.8610421026953,16.2272012295076</v>
      </c>
    </row>
    <row r="84" spans="2:29" x14ac:dyDescent="0.2">
      <c r="B84" s="3">
        <v>82</v>
      </c>
      <c r="C84" s="6">
        <v>42</v>
      </c>
      <c r="D84" s="6">
        <v>17.0625</v>
      </c>
      <c r="E84" s="8">
        <v>3.5527136788005009E-15</v>
      </c>
      <c r="F84" s="7"/>
      <c r="G84" s="10">
        <v>42.489068319212301</v>
      </c>
      <c r="H84" s="10">
        <v>16.9620315944677</v>
      </c>
      <c r="I84" s="10">
        <v>4.15350544292847E-2</v>
      </c>
      <c r="K84" s="10">
        <v>42.491492239116099</v>
      </c>
      <c r="L84" s="10">
        <v>17.095776445810699</v>
      </c>
      <c r="M84" s="10">
        <v>4.15350544292847E-2</v>
      </c>
      <c r="N84" s="13"/>
      <c r="O84" s="10">
        <v>42.759125258253597</v>
      </c>
      <c r="P84" s="10">
        <v>17.535738277824901</v>
      </c>
      <c r="Q84" s="10">
        <v>5.2271550672640797E-2</v>
      </c>
      <c r="R84" s="13"/>
      <c r="S84" s="8">
        <v>3.5527136788005009E-15</v>
      </c>
      <c r="T84" s="17"/>
      <c r="U84" s="13">
        <f t="shared" si="8"/>
        <v>0</v>
      </c>
      <c r="V84" s="13">
        <f t="shared" si="9"/>
        <v>2.3797833206439658</v>
      </c>
      <c r="W84" s="13">
        <f t="shared" si="10"/>
        <v>2.3797833206439658</v>
      </c>
      <c r="X84" s="13">
        <f t="shared" si="11"/>
        <v>2.9949392421463337</v>
      </c>
      <c r="Z84" t="str">
        <f t="shared" si="12"/>
        <v>42,17.0625</v>
      </c>
      <c r="AA84" t="str">
        <f t="shared" si="13"/>
        <v>42.4890683192123,16.9620315944677</v>
      </c>
      <c r="AB84" t="str">
        <f t="shared" si="14"/>
        <v>42.4914922391161,17.0957764458107</v>
      </c>
      <c r="AC84" t="str">
        <f t="shared" si="15"/>
        <v>42.7591252582536,17.5357382778249</v>
      </c>
    </row>
    <row r="85" spans="2:29" x14ac:dyDescent="0.2">
      <c r="B85" s="3">
        <v>83</v>
      </c>
      <c r="C85" s="6">
        <v>42</v>
      </c>
      <c r="D85" s="6">
        <v>18.375</v>
      </c>
      <c r="E85" s="8">
        <v>3.5527136788005009E-15</v>
      </c>
      <c r="F85" s="7"/>
      <c r="G85" s="10">
        <v>42.543567405049103</v>
      </c>
      <c r="H85" s="10">
        <v>18.273399620478301</v>
      </c>
      <c r="I85" s="10">
        <v>4.15350544292847E-2</v>
      </c>
      <c r="K85" s="10">
        <v>42.545991324952801</v>
      </c>
      <c r="L85" s="10">
        <v>18.407144471821301</v>
      </c>
      <c r="M85" s="10">
        <v>8.3718192426746302E-2</v>
      </c>
      <c r="N85" s="13"/>
      <c r="O85" s="10">
        <v>42.8277004303919</v>
      </c>
      <c r="P85" s="10">
        <v>18.846445604334601</v>
      </c>
      <c r="Q85" s="10">
        <v>8.26903956273186E-2</v>
      </c>
      <c r="R85" s="13"/>
      <c r="S85" s="8">
        <v>3.5527136788005009E-15</v>
      </c>
      <c r="T85" s="17"/>
      <c r="U85" s="13">
        <f t="shared" si="8"/>
        <v>0</v>
      </c>
      <c r="V85" s="13">
        <f t="shared" si="9"/>
        <v>2.3797833206439658</v>
      </c>
      <c r="W85" s="13">
        <f t="shared" si="10"/>
        <v>4.7966990945164509</v>
      </c>
      <c r="X85" s="13">
        <f t="shared" si="11"/>
        <v>4.7378106757121898</v>
      </c>
      <c r="Z85" t="str">
        <f t="shared" si="12"/>
        <v>42,18.375</v>
      </c>
      <c r="AA85" t="str">
        <f t="shared" si="13"/>
        <v>42.5435674050491,18.2733996204783</v>
      </c>
      <c r="AB85" t="str">
        <f t="shared" si="14"/>
        <v>42.5459913249528,18.4071444718213</v>
      </c>
      <c r="AC85" t="str">
        <f t="shared" si="15"/>
        <v>42.8277004303919,18.8464456043346</v>
      </c>
    </row>
    <row r="86" spans="2:29" x14ac:dyDescent="0.2">
      <c r="B86" s="3">
        <v>84</v>
      </c>
      <c r="C86" s="6">
        <v>42</v>
      </c>
      <c r="D86" s="6">
        <v>19.6875</v>
      </c>
      <c r="E86" s="8">
        <v>3.5527136788005009E-15</v>
      </c>
      <c r="F86" s="7"/>
      <c r="G86" s="10">
        <v>42.598066490885799</v>
      </c>
      <c r="H86" s="10">
        <v>19.584767646488899</v>
      </c>
      <c r="I86" s="10">
        <v>8.3718192426746302E-2</v>
      </c>
      <c r="K86" s="10">
        <v>42.655743144022203</v>
      </c>
      <c r="L86" s="10">
        <v>19.715047674742198</v>
      </c>
      <c r="M86" s="10">
        <v>0.105240901941968</v>
      </c>
      <c r="N86" s="13"/>
      <c r="O86" s="10">
        <v>42.9361079330031</v>
      </c>
      <c r="P86" s="10">
        <v>20.154460918991798</v>
      </c>
      <c r="Q86" s="10">
        <v>0.12928945906426201</v>
      </c>
      <c r="R86" s="13"/>
      <c r="S86" s="8">
        <v>3.5527136788005009E-15</v>
      </c>
      <c r="T86" s="17"/>
      <c r="U86" s="13">
        <f t="shared" si="8"/>
        <v>0</v>
      </c>
      <c r="V86" s="13">
        <f t="shared" si="9"/>
        <v>4.7966990945164509</v>
      </c>
      <c r="W86" s="13">
        <f t="shared" si="10"/>
        <v>6.0298595134247126</v>
      </c>
      <c r="X86" s="13">
        <f t="shared" si="11"/>
        <v>7.4077403399114354</v>
      </c>
      <c r="Z86" t="str">
        <f t="shared" si="12"/>
        <v>42,19.6875</v>
      </c>
      <c r="AA86" t="str">
        <f t="shared" si="13"/>
        <v>42.5980664908858,19.5847676464889</v>
      </c>
      <c r="AB86" t="str">
        <f t="shared" si="14"/>
        <v>42.6557431440222,19.7150476747422</v>
      </c>
      <c r="AC86" t="str">
        <f t="shared" si="15"/>
        <v>42.9361079330031,20.1544609189918</v>
      </c>
    </row>
    <row r="87" spans="2:29" x14ac:dyDescent="0.2">
      <c r="B87" s="3">
        <v>85</v>
      </c>
      <c r="C87" s="6">
        <v>42</v>
      </c>
      <c r="D87" s="6">
        <v>21</v>
      </c>
      <c r="E87" s="8">
        <v>3.5527136788005009E-15</v>
      </c>
      <c r="F87" s="7"/>
      <c r="G87" s="10">
        <v>42.707818309955201</v>
      </c>
      <c r="H87" s="10">
        <v>20.8926708494099</v>
      </c>
      <c r="I87" s="10">
        <v>0.105240901941968</v>
      </c>
      <c r="K87" s="10">
        <v>42.793616991552</v>
      </c>
      <c r="L87" s="10">
        <v>21.020285987146298</v>
      </c>
      <c r="M87" s="10">
        <v>0.18220721259133499</v>
      </c>
      <c r="N87" s="13"/>
      <c r="O87" s="10">
        <v>43.105327986591902</v>
      </c>
      <c r="P87" s="10">
        <v>21.456006470812099</v>
      </c>
      <c r="Q87" s="10">
        <v>0.21468779634469801</v>
      </c>
      <c r="R87" s="13"/>
      <c r="S87" s="8">
        <v>3.5527136788005009E-15</v>
      </c>
      <c r="T87" s="17"/>
      <c r="U87" s="13">
        <f t="shared" si="8"/>
        <v>0</v>
      </c>
      <c r="V87" s="13">
        <f t="shared" si="9"/>
        <v>6.0298595134247126</v>
      </c>
      <c r="W87" s="13">
        <f t="shared" si="10"/>
        <v>10.439704278326245</v>
      </c>
      <c r="X87" s="13">
        <f t="shared" si="11"/>
        <v>12.300704643515136</v>
      </c>
      <c r="Z87" t="str">
        <f t="shared" si="12"/>
        <v>42,21</v>
      </c>
      <c r="AA87" t="str">
        <f t="shared" si="13"/>
        <v>42.7078183099552,20.8926708494099</v>
      </c>
      <c r="AB87" t="str">
        <f t="shared" si="14"/>
        <v>42.793616991552,21.0202859871463</v>
      </c>
      <c r="AC87" t="str">
        <f t="shared" si="15"/>
        <v>43.1053279865919,21.4560064708121</v>
      </c>
    </row>
    <row r="88" spans="2:29" x14ac:dyDescent="0.2">
      <c r="B88" s="3">
        <v>86</v>
      </c>
      <c r="C88" s="6">
        <v>42</v>
      </c>
      <c r="D88" s="6">
        <v>22.3125</v>
      </c>
      <c r="E88" s="8">
        <v>3.5527136788005009E-15</v>
      </c>
      <c r="F88" s="7"/>
      <c r="G88" s="10">
        <v>42.845692157484997</v>
      </c>
      <c r="H88" s="10">
        <v>22.1979091618139</v>
      </c>
      <c r="I88" s="10">
        <v>0.18220721259133499</v>
      </c>
      <c r="K88" s="10">
        <v>43.031442894226998</v>
      </c>
      <c r="L88" s="10">
        <v>22.311059046214702</v>
      </c>
      <c r="M88" s="10">
        <v>0.108223465141632</v>
      </c>
      <c r="N88" s="13"/>
      <c r="O88" s="10">
        <v>43.384946139619402</v>
      </c>
      <c r="P88" s="10">
        <v>22.7383753485136</v>
      </c>
      <c r="Q88" s="10">
        <v>0.14357962921279199</v>
      </c>
      <c r="R88" s="13"/>
      <c r="S88" s="8">
        <v>3.5527136788005009E-15</v>
      </c>
      <c r="T88" s="17"/>
      <c r="U88" s="13">
        <f t="shared" si="8"/>
        <v>0</v>
      </c>
      <c r="V88" s="13">
        <f t="shared" si="9"/>
        <v>10.439704278326245</v>
      </c>
      <c r="W88" s="13">
        <f t="shared" si="10"/>
        <v>6.2007477968964944</v>
      </c>
      <c r="X88" s="13">
        <f t="shared" si="11"/>
        <v>8.2265067779460406</v>
      </c>
      <c r="Z88" t="str">
        <f t="shared" si="12"/>
        <v>42,22.3125</v>
      </c>
      <c r="AA88" t="str">
        <f t="shared" si="13"/>
        <v>42.845692157485,22.1979091618139</v>
      </c>
      <c r="AB88" t="str">
        <f t="shared" si="14"/>
        <v>43.031442894227,22.3110590462147</v>
      </c>
      <c r="AC88" t="str">
        <f t="shared" si="15"/>
        <v>43.3849461396194,22.7383753485136</v>
      </c>
    </row>
    <row r="89" spans="2:29" x14ac:dyDescent="0.2">
      <c r="B89" s="3">
        <v>87</v>
      </c>
      <c r="C89" s="6">
        <v>42</v>
      </c>
      <c r="D89" s="6">
        <v>23.625</v>
      </c>
      <c r="E89" s="8">
        <v>3.5527136788005009E-15</v>
      </c>
      <c r="F89" s="7"/>
      <c r="G89" s="10">
        <v>43.083518060160003</v>
      </c>
      <c r="H89" s="10">
        <v>23.4886822208823</v>
      </c>
      <c r="I89" s="10">
        <v>0.108223465141632</v>
      </c>
      <c r="K89" s="10">
        <v>43.173209078501799</v>
      </c>
      <c r="L89" s="10">
        <v>23.615880336275598</v>
      </c>
      <c r="M89" s="10">
        <v>2.80454497613849E-2</v>
      </c>
      <c r="N89" s="13"/>
      <c r="O89" s="10">
        <v>43.5727475897503</v>
      </c>
      <c r="P89" s="10">
        <v>24.037369907905202</v>
      </c>
      <c r="Q89" s="10">
        <v>6.84894898729453E-2</v>
      </c>
      <c r="R89" s="13"/>
      <c r="S89" s="8">
        <v>3.5527136788005009E-15</v>
      </c>
      <c r="T89" s="17"/>
      <c r="U89" s="13">
        <f t="shared" si="8"/>
        <v>0</v>
      </c>
      <c r="V89" s="13">
        <f t="shared" si="9"/>
        <v>6.2007477968964944</v>
      </c>
      <c r="W89" s="13">
        <f t="shared" si="10"/>
        <v>1.6068859058733329</v>
      </c>
      <c r="X89" s="13">
        <f t="shared" si="11"/>
        <v>3.9241587107235549</v>
      </c>
      <c r="Z89" t="str">
        <f t="shared" si="12"/>
        <v>42,23.625</v>
      </c>
      <c r="AA89" t="str">
        <f t="shared" si="13"/>
        <v>43.08351806016,23.4886822208823</v>
      </c>
      <c r="AB89" t="str">
        <f t="shared" si="14"/>
        <v>43.1732090785018,23.6158803362756</v>
      </c>
      <c r="AC89" t="str">
        <f t="shared" si="15"/>
        <v>43.5727475897503,24.0373699079052</v>
      </c>
    </row>
    <row r="90" spans="2:29" x14ac:dyDescent="0.2">
      <c r="B90" s="3">
        <v>88</v>
      </c>
      <c r="C90" s="6">
        <v>42</v>
      </c>
      <c r="D90" s="6">
        <v>24.9375</v>
      </c>
      <c r="E90" s="8">
        <v>3.5527136788005009E-15</v>
      </c>
      <c r="F90" s="7"/>
      <c r="G90" s="10">
        <v>43.225284244434803</v>
      </c>
      <c r="H90" s="10">
        <v>24.7935035109432</v>
      </c>
      <c r="I90" s="10">
        <v>2.80454497613849E-2</v>
      </c>
      <c r="K90" s="10">
        <v>43.2100139060815</v>
      </c>
      <c r="L90" s="10">
        <v>24.927864198473099</v>
      </c>
      <c r="M90" s="10">
        <v>0.12222280060346399</v>
      </c>
      <c r="N90" s="13"/>
      <c r="O90" s="10">
        <v>43.662569783614899</v>
      </c>
      <c r="P90" s="10">
        <v>25.346792766835499</v>
      </c>
      <c r="Q90" s="10">
        <v>0.122086939283337</v>
      </c>
      <c r="R90" s="13"/>
      <c r="S90" s="8">
        <v>3.5527136788005009E-15</v>
      </c>
      <c r="T90" s="17"/>
      <c r="U90" s="13">
        <f t="shared" si="8"/>
        <v>0</v>
      </c>
      <c r="V90" s="13">
        <f t="shared" si="9"/>
        <v>1.6068859058733329</v>
      </c>
      <c r="W90" s="13">
        <f t="shared" si="10"/>
        <v>7.0028506348472943</v>
      </c>
      <c r="X90" s="13">
        <f t="shared" si="11"/>
        <v>6.9950663546049423</v>
      </c>
      <c r="Z90" t="str">
        <f t="shared" si="12"/>
        <v>42,24.9375</v>
      </c>
      <c r="AA90" t="str">
        <f t="shared" si="13"/>
        <v>43.2252842444348,24.7935035109432</v>
      </c>
      <c r="AB90" t="str">
        <f t="shared" si="14"/>
        <v>43.2100139060815,24.9278641984731</v>
      </c>
      <c r="AC90" t="str">
        <f t="shared" si="15"/>
        <v>43.6625697836149,25.3467927668355</v>
      </c>
    </row>
    <row r="91" spans="2:29" x14ac:dyDescent="0.2">
      <c r="B91" s="3">
        <v>89</v>
      </c>
      <c r="C91" s="6">
        <v>42</v>
      </c>
      <c r="D91" s="6">
        <v>26.25</v>
      </c>
      <c r="E91" s="8">
        <v>3.5527136788005009E-15</v>
      </c>
      <c r="F91" s="7"/>
      <c r="G91" s="10">
        <v>43.262089072014497</v>
      </c>
      <c r="H91" s="10">
        <v>26.1054873731408</v>
      </c>
      <c r="I91" s="10">
        <v>-3.81826312267853E-2</v>
      </c>
      <c r="K91" s="10">
        <v>43.370032233125798</v>
      </c>
      <c r="L91" s="10">
        <v>26.230573062728698</v>
      </c>
      <c r="M91" s="10">
        <v>-3.81826312267853E-2</v>
      </c>
      <c r="N91" s="13"/>
      <c r="O91" s="10">
        <v>43.8224111214369</v>
      </c>
      <c r="P91" s="10">
        <v>26.649523359369201</v>
      </c>
      <c r="Q91" s="10">
        <v>-3.7907080803819902E-2</v>
      </c>
      <c r="R91" s="13"/>
      <c r="S91" s="8">
        <v>3.5527136788005009E-15</v>
      </c>
      <c r="T91" s="17"/>
      <c r="U91" s="13">
        <f t="shared" si="8"/>
        <v>0</v>
      </c>
      <c r="V91" s="13">
        <f t="shared" si="9"/>
        <v>-2.187703619999426</v>
      </c>
      <c r="W91" s="13">
        <f t="shared" si="10"/>
        <v>-2.187703619999426</v>
      </c>
      <c r="X91" s="13">
        <f t="shared" si="11"/>
        <v>-2.1719157437204641</v>
      </c>
      <c r="Z91" t="str">
        <f t="shared" si="12"/>
        <v>42,26.25</v>
      </c>
      <c r="AA91" t="str">
        <f t="shared" si="13"/>
        <v>43.2620890720145,26.1054873731408</v>
      </c>
      <c r="AB91" t="str">
        <f t="shared" si="14"/>
        <v>43.3700322331258,26.2305730627287</v>
      </c>
      <c r="AC91" t="str">
        <f t="shared" si="15"/>
        <v>43.8224111214369,26.6495233593692</v>
      </c>
    </row>
    <row r="92" spans="2:29" x14ac:dyDescent="0.2">
      <c r="B92" s="3">
        <v>90</v>
      </c>
      <c r="C92" s="6">
        <v>42</v>
      </c>
      <c r="D92" s="6">
        <v>27.5625</v>
      </c>
      <c r="E92" s="8">
        <v>3.5527136788005009E-15</v>
      </c>
      <c r="F92" s="7"/>
      <c r="G92" s="10">
        <v>43.211986544790697</v>
      </c>
      <c r="H92" s="10">
        <v>27.417030733752899</v>
      </c>
      <c r="I92" s="10">
        <v>-3.81826312267853E-2</v>
      </c>
      <c r="K92" s="10">
        <v>43.319929705901998</v>
      </c>
      <c r="L92" s="10">
        <v>27.542116423340801</v>
      </c>
      <c r="M92" s="10">
        <v>-1.9103692490103599E-2</v>
      </c>
      <c r="N92" s="13"/>
      <c r="O92" s="10">
        <v>43.772669992438402</v>
      </c>
      <c r="P92" s="10">
        <v>27.961080475962302</v>
      </c>
      <c r="Q92" s="10">
        <v>-8.6504091686850102E-4</v>
      </c>
      <c r="R92" s="13"/>
      <c r="S92" s="8">
        <v>3.5527136788005009E-15</v>
      </c>
      <c r="T92" s="17"/>
      <c r="U92" s="13">
        <f t="shared" si="8"/>
        <v>0</v>
      </c>
      <c r="V92" s="13">
        <f t="shared" si="9"/>
        <v>-2.187703619999426</v>
      </c>
      <c r="W92" s="13">
        <f t="shared" si="10"/>
        <v>-1.094560952798906</v>
      </c>
      <c r="X92" s="13">
        <f t="shared" si="11"/>
        <v>-4.9563193642895763E-2</v>
      </c>
      <c r="Z92" t="str">
        <f t="shared" si="12"/>
        <v>42,27.5625</v>
      </c>
      <c r="AA92" t="str">
        <f t="shared" si="13"/>
        <v>43.2119865447907,27.4170307337529</v>
      </c>
      <c r="AB92" t="str">
        <f t="shared" si="14"/>
        <v>43.319929705902,27.5421164233408</v>
      </c>
      <c r="AC92" t="str">
        <f t="shared" si="15"/>
        <v>43.7726699924384,27.9610804759623</v>
      </c>
    </row>
    <row r="93" spans="2:29" x14ac:dyDescent="0.2">
      <c r="B93" s="3">
        <v>91</v>
      </c>
      <c r="C93" s="6">
        <v>42</v>
      </c>
      <c r="D93" s="6">
        <v>28.875</v>
      </c>
      <c r="E93" s="8">
        <v>3.5527136788005009E-15</v>
      </c>
      <c r="F93" s="7"/>
      <c r="G93" s="10">
        <v>43.161884017566898</v>
      </c>
      <c r="H93" s="10">
        <v>28.728574094365101</v>
      </c>
      <c r="I93" s="10">
        <v>-1.9103692490103599E-2</v>
      </c>
      <c r="K93" s="10">
        <v>43.294857634586897</v>
      </c>
      <c r="L93" s="10">
        <v>28.854376931487</v>
      </c>
      <c r="M93" s="10">
        <v>-3.10883279483622E-2</v>
      </c>
      <c r="N93" s="13"/>
      <c r="O93" s="10">
        <v>43.771534626376599</v>
      </c>
      <c r="P93" s="10">
        <v>29.2735799848932</v>
      </c>
      <c r="Q93" s="10">
        <v>-2.7341902308673099E-2</v>
      </c>
      <c r="R93" s="13"/>
      <c r="S93" s="8">
        <v>3.5527136788005009E-15</v>
      </c>
      <c r="T93" s="17"/>
      <c r="U93" s="13">
        <f t="shared" si="8"/>
        <v>0</v>
      </c>
      <c r="V93" s="13">
        <f t="shared" si="9"/>
        <v>-1.094560952798906</v>
      </c>
      <c r="W93" s="13">
        <f t="shared" si="10"/>
        <v>-1.781229983559959</v>
      </c>
      <c r="X93" s="13">
        <f t="shared" si="11"/>
        <v>-1.566575606146174</v>
      </c>
      <c r="Z93" t="str">
        <f t="shared" si="12"/>
        <v>42,28.875</v>
      </c>
      <c r="AA93" t="str">
        <f t="shared" si="13"/>
        <v>43.1618840175669,28.7285740943651</v>
      </c>
      <c r="AB93" t="str">
        <f t="shared" si="14"/>
        <v>43.2948576345869,28.854376931487</v>
      </c>
      <c r="AC93" t="str">
        <f t="shared" si="15"/>
        <v>43.7715346263766,29.2735799848932</v>
      </c>
    </row>
    <row r="94" spans="2:29" x14ac:dyDescent="0.2">
      <c r="B94" s="3">
        <v>92</v>
      </c>
      <c r="C94" s="6">
        <v>42</v>
      </c>
      <c r="D94" s="6">
        <v>30.1875</v>
      </c>
      <c r="E94" s="8">
        <v>3.5527136788005009E-15</v>
      </c>
      <c r="F94" s="7"/>
      <c r="G94" s="10">
        <v>43.136811946251797</v>
      </c>
      <c r="H94" s="10">
        <v>30.0408346025112</v>
      </c>
      <c r="I94" s="10">
        <v>-3.10883279483622E-2</v>
      </c>
      <c r="K94" s="10">
        <v>43.254060776481701</v>
      </c>
      <c r="L94" s="10">
        <v>30.166242727355101</v>
      </c>
      <c r="M94" s="10">
        <v>4.3108472497854801E-2</v>
      </c>
      <c r="N94" s="13"/>
      <c r="O94" s="10">
        <v>43.7356528507338</v>
      </c>
      <c r="P94" s="10">
        <v>30.5855894163291</v>
      </c>
      <c r="Q94" s="10">
        <v>4.9758817023825501E-2</v>
      </c>
      <c r="R94" s="13"/>
      <c r="S94" s="8">
        <v>3.5527136788005009E-15</v>
      </c>
      <c r="T94" s="17"/>
      <c r="U94" s="13">
        <f t="shared" si="8"/>
        <v>0</v>
      </c>
      <c r="V94" s="13">
        <f t="shared" si="9"/>
        <v>-1.781229983559959</v>
      </c>
      <c r="W94" s="13">
        <f t="shared" si="10"/>
        <v>2.4699335353826584</v>
      </c>
      <c r="X94" s="13">
        <f t="shared" si="11"/>
        <v>2.8509702090287092</v>
      </c>
      <c r="Z94" t="str">
        <f t="shared" si="12"/>
        <v>42,30.1875</v>
      </c>
      <c r="AA94" t="str">
        <f t="shared" si="13"/>
        <v>43.1368119462518,30.0408346025112</v>
      </c>
      <c r="AB94" t="str">
        <f t="shared" si="14"/>
        <v>43.2540607764817,30.1662427273551</v>
      </c>
      <c r="AC94" t="str">
        <f t="shared" si="15"/>
        <v>43.7356528507338,30.5855894163291</v>
      </c>
    </row>
    <row r="95" spans="2:29" x14ac:dyDescent="0.2">
      <c r="B95" s="3">
        <v>93</v>
      </c>
      <c r="C95" s="6">
        <v>42</v>
      </c>
      <c r="D95" s="6">
        <v>31.5</v>
      </c>
      <c r="E95" s="8">
        <v>3.5527136788005009E-15</v>
      </c>
      <c r="F95" s="7"/>
      <c r="G95" s="10">
        <v>43.096015088146601</v>
      </c>
      <c r="H95" s="10">
        <v>31.352700398379401</v>
      </c>
      <c r="I95" s="10">
        <v>4.3108472497854801E-2</v>
      </c>
      <c r="K95" s="10">
        <v>43.310623124153601</v>
      </c>
      <c r="L95" s="10">
        <v>31.477523380314601</v>
      </c>
      <c r="M95" s="10">
        <v>-5.4828782274162699E-2</v>
      </c>
      <c r="N95" s="13"/>
      <c r="O95" s="10">
        <v>43.800934351448902</v>
      </c>
      <c r="P95" s="10">
        <v>31.896464916010299</v>
      </c>
      <c r="Q95" s="10">
        <v>-4.0779049581169298E-2</v>
      </c>
      <c r="R95" s="13"/>
      <c r="S95" s="8">
        <v>3.5527136788005009E-15</v>
      </c>
      <c r="T95" s="17"/>
      <c r="U95" s="13">
        <f t="shared" si="8"/>
        <v>0</v>
      </c>
      <c r="V95" s="13">
        <f t="shared" si="9"/>
        <v>2.4699335353826584</v>
      </c>
      <c r="W95" s="13">
        <f t="shared" si="10"/>
        <v>-3.1414578201514263</v>
      </c>
      <c r="X95" s="13">
        <f t="shared" si="11"/>
        <v>-2.3364674335559314</v>
      </c>
      <c r="Z95" t="str">
        <f t="shared" si="12"/>
        <v>42,31.5</v>
      </c>
      <c r="AA95" t="str">
        <f t="shared" si="13"/>
        <v>43.0960150881466,31.3527003983794</v>
      </c>
      <c r="AB95" t="str">
        <f t="shared" si="14"/>
        <v>43.3106231241536,31.4775233803146</v>
      </c>
      <c r="AC95" t="str">
        <f t="shared" si="15"/>
        <v>43.8009343514489,31.8964649160103</v>
      </c>
    </row>
    <row r="96" spans="2:29" x14ac:dyDescent="0.2">
      <c r="B96" s="3">
        <v>94</v>
      </c>
      <c r="C96" s="6">
        <v>42</v>
      </c>
      <c r="D96" s="6">
        <v>32.8125</v>
      </c>
      <c r="E96" s="8">
        <v>3.5527136788005009E-15</v>
      </c>
      <c r="F96" s="7"/>
      <c r="G96" s="10">
        <v>43.1525774358185</v>
      </c>
      <c r="H96" s="10">
        <v>32.663981051338801</v>
      </c>
      <c r="I96" s="10">
        <v>-5.4828782274162699E-2</v>
      </c>
      <c r="K96" s="10">
        <v>43.238696397694</v>
      </c>
      <c r="L96" s="10">
        <v>32.788051058778798</v>
      </c>
      <c r="M96" s="10">
        <v>3.7861469136257299E-2</v>
      </c>
      <c r="N96" s="13"/>
      <c r="O96" s="10">
        <v>43.747426681677403</v>
      </c>
      <c r="P96" s="10">
        <v>33.207873768838297</v>
      </c>
      <c r="Q96" s="10">
        <v>5.7750088476693003E-2</v>
      </c>
      <c r="R96" s="13"/>
      <c r="S96" s="8">
        <v>3.5527136788005009E-15</v>
      </c>
      <c r="T96" s="17"/>
      <c r="U96" s="13">
        <f t="shared" si="8"/>
        <v>0</v>
      </c>
      <c r="V96" s="13">
        <f t="shared" si="9"/>
        <v>-3.1414578201514263</v>
      </c>
      <c r="W96" s="13">
        <f t="shared" si="10"/>
        <v>2.169302387672166</v>
      </c>
      <c r="X96" s="13">
        <f t="shared" si="11"/>
        <v>3.3088363362213951</v>
      </c>
      <c r="Z96" t="str">
        <f t="shared" si="12"/>
        <v>42,32.8125</v>
      </c>
      <c r="AA96" t="str">
        <f t="shared" si="13"/>
        <v>43.1525774358185,32.6639810513388</v>
      </c>
      <c r="AB96" t="str">
        <f t="shared" si="14"/>
        <v>43.238696397694,32.7880510587788</v>
      </c>
      <c r="AC96" t="str">
        <f t="shared" si="15"/>
        <v>43.7474266816774,33.2078737688383</v>
      </c>
    </row>
    <row r="97" spans="2:29" x14ac:dyDescent="0.2">
      <c r="B97" s="3">
        <v>95</v>
      </c>
      <c r="C97" s="6">
        <v>42</v>
      </c>
      <c r="D97" s="6">
        <v>34.125</v>
      </c>
      <c r="E97" s="8">
        <v>3.5527136788005009E-15</v>
      </c>
      <c r="F97" s="7"/>
      <c r="G97" s="10">
        <v>43.080650709358899</v>
      </c>
      <c r="H97" s="10">
        <v>33.974508729803098</v>
      </c>
      <c r="I97" s="10">
        <v>3.7861469136257299E-2</v>
      </c>
      <c r="K97" s="10">
        <v>43.288377704333598</v>
      </c>
      <c r="L97" s="10">
        <v>34.099610442783401</v>
      </c>
      <c r="M97" s="10">
        <v>2.2772915244635601E-3</v>
      </c>
      <c r="N97" s="13"/>
      <c r="O97" s="10">
        <v>43.823181548415199</v>
      </c>
      <c r="P97" s="10">
        <v>34.518185735571997</v>
      </c>
      <c r="Q97" s="10">
        <v>1.1029185635703801E-2</v>
      </c>
      <c r="R97" s="13"/>
      <c r="S97" s="8">
        <v>3.5527136788005009E-15</v>
      </c>
      <c r="T97" s="17"/>
      <c r="U97" s="13">
        <f t="shared" si="8"/>
        <v>0</v>
      </c>
      <c r="V97" s="13">
        <f t="shared" si="9"/>
        <v>2.169302387672166</v>
      </c>
      <c r="W97" s="13">
        <f t="shared" si="10"/>
        <v>0.13047919307247169</v>
      </c>
      <c r="X97" s="13">
        <f t="shared" si="11"/>
        <v>0.63192578839193614</v>
      </c>
      <c r="Z97" t="str">
        <f t="shared" si="12"/>
        <v>42,34.125</v>
      </c>
      <c r="AA97" t="str">
        <f t="shared" si="13"/>
        <v>43.0806507093589,33.9745087298031</v>
      </c>
      <c r="AB97" t="str">
        <f t="shared" si="14"/>
        <v>43.2883777043336,34.0996104427834</v>
      </c>
      <c r="AC97" t="str">
        <f t="shared" si="15"/>
        <v>43.8231815484152,34.518185735572</v>
      </c>
    </row>
    <row r="98" spans="2:29" x14ac:dyDescent="0.2">
      <c r="B98" s="3">
        <v>96</v>
      </c>
      <c r="C98" s="6">
        <v>42</v>
      </c>
      <c r="D98" s="6">
        <v>35.4375</v>
      </c>
      <c r="E98" s="8">
        <v>3.5527136788005009E-15</v>
      </c>
      <c r="F98" s="7"/>
      <c r="G98" s="10">
        <v>43.130332015998498</v>
      </c>
      <c r="H98" s="10">
        <v>35.286068113807701</v>
      </c>
      <c r="I98" s="10">
        <v>2.2772915244635601E-3</v>
      </c>
      <c r="K98" s="10">
        <v>43.2913666468759</v>
      </c>
      <c r="L98" s="10">
        <v>35.412107039435199</v>
      </c>
      <c r="M98" s="10">
        <v>2.9303601960670798E-2</v>
      </c>
      <c r="N98" s="13"/>
      <c r="O98" s="10">
        <v>43.837657061083902</v>
      </c>
      <c r="P98" s="10">
        <v>35.830605908204603</v>
      </c>
      <c r="Q98" s="10">
        <v>5.3766180528428097E-2</v>
      </c>
      <c r="R98" s="13"/>
      <c r="S98" s="8">
        <v>3.5527136788005009E-15</v>
      </c>
      <c r="T98" s="17"/>
      <c r="U98" s="13">
        <f t="shared" si="8"/>
        <v>0</v>
      </c>
      <c r="V98" s="13">
        <f t="shared" si="9"/>
        <v>0.13047919307247169</v>
      </c>
      <c r="W98" s="13">
        <f t="shared" si="10"/>
        <v>1.6789727168775173</v>
      </c>
      <c r="X98" s="13">
        <f t="shared" si="11"/>
        <v>3.0805752248171929</v>
      </c>
      <c r="Z98" t="str">
        <f t="shared" si="12"/>
        <v>42,35.4375</v>
      </c>
      <c r="AA98" t="str">
        <f t="shared" si="13"/>
        <v>43.1303320159985,35.2860681138077</v>
      </c>
      <c r="AB98" t="str">
        <f t="shared" si="14"/>
        <v>43.2913666468759,35.4121070394352</v>
      </c>
      <c r="AC98" t="str">
        <f t="shared" si="15"/>
        <v>43.8376570610839,35.8306059082046</v>
      </c>
    </row>
    <row r="99" spans="2:29" x14ac:dyDescent="0.2">
      <c r="B99" s="3">
        <v>97</v>
      </c>
      <c r="C99" s="6">
        <v>42</v>
      </c>
      <c r="D99" s="6">
        <v>36.75</v>
      </c>
      <c r="E99" s="8">
        <v>3.5527136788005009E-15</v>
      </c>
      <c r="F99" s="7"/>
      <c r="G99" s="10">
        <v>43.1333209585408</v>
      </c>
      <c r="H99" s="10">
        <v>36.598564710459499</v>
      </c>
      <c r="I99" s="10">
        <v>2.9303601960670798E-2</v>
      </c>
      <c r="K99" s="10">
        <v>43.3298221202718</v>
      </c>
      <c r="L99" s="10">
        <v>36.7240435571699</v>
      </c>
      <c r="M99" s="10">
        <v>3.6872942815072099E-2</v>
      </c>
      <c r="N99" s="13"/>
      <c r="O99" s="10">
        <v>43.908191178199601</v>
      </c>
      <c r="P99" s="10">
        <v>37.141209276246499</v>
      </c>
      <c r="Q99" s="10">
        <v>3.5888732311545601E-2</v>
      </c>
      <c r="R99" s="13"/>
      <c r="S99" s="8">
        <v>3.5527136788005009E-15</v>
      </c>
      <c r="T99" s="17"/>
      <c r="U99" s="13">
        <f t="shared" si="8"/>
        <v>0</v>
      </c>
      <c r="V99" s="13">
        <f t="shared" si="9"/>
        <v>1.6789727168775173</v>
      </c>
      <c r="W99" s="13">
        <f t="shared" si="10"/>
        <v>2.1126640015306606</v>
      </c>
      <c r="X99" s="13">
        <f t="shared" si="11"/>
        <v>2.0562728935261463</v>
      </c>
      <c r="Z99" t="str">
        <f t="shared" si="12"/>
        <v>42,36.75</v>
      </c>
      <c r="AA99" t="str">
        <f t="shared" si="13"/>
        <v>43.1333209585408,36.5985647104595</v>
      </c>
      <c r="AB99" t="str">
        <f t="shared" si="14"/>
        <v>43.3298221202718,36.7240435571699</v>
      </c>
      <c r="AC99" t="str">
        <f t="shared" si="15"/>
        <v>43.9081911781996,37.1412092762465</v>
      </c>
    </row>
    <row r="100" spans="2:29" x14ac:dyDescent="0.2">
      <c r="B100" s="3">
        <v>98</v>
      </c>
      <c r="C100" s="6">
        <v>42</v>
      </c>
      <c r="D100" s="6">
        <v>38.0625</v>
      </c>
      <c r="E100" s="8">
        <v>3.5527136788005009E-15</v>
      </c>
      <c r="F100" s="7"/>
      <c r="G100" s="10">
        <v>43.171776431936699</v>
      </c>
      <c r="H100" s="10">
        <v>37.9105012281942</v>
      </c>
      <c r="I100" s="10">
        <v>3.6872942815072099E-2</v>
      </c>
      <c r="K100" s="10">
        <v>43.378206891875699</v>
      </c>
      <c r="L100" s="10">
        <v>38.035651411628301</v>
      </c>
      <c r="M100" s="10">
        <v>6.0467889990157397E-2</v>
      </c>
      <c r="N100" s="13"/>
      <c r="O100" s="10">
        <v>43.955285028350602</v>
      </c>
      <c r="P100" s="10">
        <v>38.452864116239802</v>
      </c>
      <c r="Q100" s="10">
        <v>6.5262202074110001E-2</v>
      </c>
      <c r="R100" s="13"/>
      <c r="S100" s="8">
        <v>3.5527136788005009E-15</v>
      </c>
      <c r="T100" s="17"/>
      <c r="U100" s="13">
        <f t="shared" si="8"/>
        <v>0</v>
      </c>
      <c r="V100" s="13">
        <f t="shared" si="9"/>
        <v>2.1126640015306606</v>
      </c>
      <c r="W100" s="13">
        <f t="shared" si="10"/>
        <v>3.4645548924971719</v>
      </c>
      <c r="X100" s="13">
        <f t="shared" si="11"/>
        <v>3.7392487405762269</v>
      </c>
      <c r="Z100" t="str">
        <f t="shared" si="12"/>
        <v>42,38.0625</v>
      </c>
      <c r="AA100" t="str">
        <f t="shared" si="13"/>
        <v>43.1717764319367,37.9105012281942</v>
      </c>
      <c r="AB100" t="str">
        <f t="shared" si="14"/>
        <v>43.3782068918757,38.0356514116283</v>
      </c>
      <c r="AC100" t="str">
        <f t="shared" si="15"/>
        <v>43.9552850283506,38.4528641162398</v>
      </c>
    </row>
    <row r="101" spans="2:29" x14ac:dyDescent="0.2">
      <c r="B101" s="3">
        <v>99</v>
      </c>
      <c r="C101" s="6">
        <v>42</v>
      </c>
      <c r="D101" s="6">
        <v>39.375</v>
      </c>
      <c r="E101" s="8">
        <v>3.5527136788005009E-15</v>
      </c>
      <c r="F101" s="7"/>
      <c r="G101" s="10">
        <v>43.220161203540599</v>
      </c>
      <c r="H101" s="10">
        <v>39.222109082652501</v>
      </c>
      <c r="I101" s="10">
        <v>6.0467889990157397E-2</v>
      </c>
      <c r="K101" s="10">
        <v>43.457522642296396</v>
      </c>
      <c r="L101" s="10">
        <v>39.345752652653204</v>
      </c>
      <c r="M101" s="10">
        <v>4.8444755167871202E-2</v>
      </c>
      <c r="N101" s="13"/>
      <c r="O101" s="10">
        <v>44.040880877368799</v>
      </c>
      <c r="P101" s="10">
        <v>39.762570037670599</v>
      </c>
      <c r="Q101" s="10">
        <v>4.8992336301872198E-2</v>
      </c>
      <c r="R101" s="13"/>
      <c r="S101" s="8">
        <v>3.5527136788005009E-15</v>
      </c>
      <c r="T101" s="17"/>
      <c r="U101" s="13">
        <f t="shared" si="8"/>
        <v>0</v>
      </c>
      <c r="V101" s="13">
        <f t="shared" si="9"/>
        <v>3.4645548924971719</v>
      </c>
      <c r="W101" s="13">
        <f t="shared" si="10"/>
        <v>2.7756800106634003</v>
      </c>
      <c r="X101" s="13">
        <f t="shared" si="11"/>
        <v>2.8070540985826447</v>
      </c>
      <c r="Z101" t="str">
        <f t="shared" si="12"/>
        <v>42,39.375</v>
      </c>
      <c r="AA101" t="str">
        <f t="shared" si="13"/>
        <v>43.2201612035406,39.2221090826525</v>
      </c>
      <c r="AB101" t="str">
        <f t="shared" si="14"/>
        <v>43.4575226422964,39.3457526526532</v>
      </c>
      <c r="AC101" t="str">
        <f t="shared" si="15"/>
        <v>44.0408808773688,39.7625700376706</v>
      </c>
    </row>
    <row r="102" spans="2:29" x14ac:dyDescent="0.2">
      <c r="B102" s="3">
        <v>100</v>
      </c>
      <c r="C102" s="6">
        <v>42</v>
      </c>
      <c r="D102" s="6">
        <v>40.6875</v>
      </c>
      <c r="E102" s="8">
        <v>3.5527136788005009E-15</v>
      </c>
      <c r="F102" s="7"/>
      <c r="G102" s="10">
        <v>43.299476953961197</v>
      </c>
      <c r="H102" s="10">
        <v>40.532210323677504</v>
      </c>
      <c r="I102" s="10">
        <v>4.8444755167871202E-2</v>
      </c>
      <c r="K102" s="10">
        <v>43.521081515652497</v>
      </c>
      <c r="L102" s="10">
        <v>40.656712804457101</v>
      </c>
      <c r="M102" s="10">
        <v>4.6303198321932498E-2</v>
      </c>
      <c r="N102" s="13"/>
      <c r="O102" s="10">
        <v>44.105157598206702</v>
      </c>
      <c r="P102" s="10">
        <v>41.073495189293801</v>
      </c>
      <c r="Q102" s="10">
        <v>6.3594962080872106E-2</v>
      </c>
      <c r="R102" s="13"/>
      <c r="S102" s="8">
        <v>3.5527136788005009E-15</v>
      </c>
      <c r="T102" s="17"/>
      <c r="U102" s="13">
        <f t="shared" si="8"/>
        <v>0</v>
      </c>
      <c r="V102" s="13">
        <f t="shared" si="9"/>
        <v>2.7756800106634003</v>
      </c>
      <c r="W102" s="13">
        <f t="shared" si="10"/>
        <v>2.6529778418037644</v>
      </c>
      <c r="X102" s="13">
        <f t="shared" si="11"/>
        <v>3.6437229255282757</v>
      </c>
      <c r="Z102" t="str">
        <f t="shared" si="12"/>
        <v>42,40.6875</v>
      </c>
      <c r="AA102" t="str">
        <f t="shared" si="13"/>
        <v>43.2994769539612,40.5322103236775</v>
      </c>
      <c r="AB102" t="str">
        <f t="shared" si="14"/>
        <v>43.5210815156525,40.6567128044571</v>
      </c>
      <c r="AC102" t="str">
        <f t="shared" si="15"/>
        <v>44.1051575982067,41.0734951892938</v>
      </c>
    </row>
    <row r="103" spans="2:29" x14ac:dyDescent="0.2">
      <c r="B103" s="3">
        <v>101</v>
      </c>
      <c r="C103" s="6">
        <v>42</v>
      </c>
      <c r="D103" s="6">
        <v>42</v>
      </c>
      <c r="E103" s="8">
        <v>3.5527136788005009E-15</v>
      </c>
      <c r="F103" s="7"/>
      <c r="G103" s="10">
        <v>43.363035827317397</v>
      </c>
      <c r="H103" s="10">
        <v>41.843170475481401</v>
      </c>
      <c r="I103" s="10">
        <v>4.6303198321932498E-2</v>
      </c>
      <c r="K103" s="10">
        <v>43.581832749717897</v>
      </c>
      <c r="L103" s="10">
        <v>41.967806064892699</v>
      </c>
      <c r="M103" s="10">
        <v>-4.9832262016183903E-4</v>
      </c>
      <c r="N103" s="13"/>
      <c r="O103" s="10">
        <v>44.188569735180003</v>
      </c>
      <c r="P103" s="10">
        <v>42.383341999193902</v>
      </c>
      <c r="Q103" s="10">
        <v>5.9419211766399704E-4</v>
      </c>
      <c r="R103" s="13"/>
      <c r="S103" s="8">
        <v>3.5527136788005009E-15</v>
      </c>
      <c r="T103" s="17"/>
      <c r="U103" s="13">
        <f t="shared" si="8"/>
        <v>0</v>
      </c>
      <c r="V103" s="13">
        <f t="shared" si="9"/>
        <v>2.6529778418037644</v>
      </c>
      <c r="W103" s="13">
        <f t="shared" si="10"/>
        <v>-2.8551782971377757E-2</v>
      </c>
      <c r="X103" s="13">
        <f t="shared" si="11"/>
        <v>3.4044700561884286E-2</v>
      </c>
      <c r="Z103" t="str">
        <f t="shared" si="12"/>
        <v>42,42</v>
      </c>
      <c r="AA103" t="str">
        <f t="shared" si="13"/>
        <v>43.3630358273174,41.8431704754814</v>
      </c>
      <c r="AB103" t="str">
        <f t="shared" si="14"/>
        <v>43.5818327497179,41.9678060648927</v>
      </c>
      <c r="AC103" t="str">
        <f t="shared" si="15"/>
        <v>44.18856973518,42.3833419991939</v>
      </c>
    </row>
    <row r="104" spans="2:29" x14ac:dyDescent="0.2">
      <c r="B104" s="3">
        <v>102</v>
      </c>
      <c r="C104" s="6">
        <v>42</v>
      </c>
      <c r="D104" s="6">
        <v>43.3125</v>
      </c>
      <c r="E104" s="8">
        <v>3.5527136788005009E-15</v>
      </c>
      <c r="F104" s="7"/>
      <c r="G104" s="10">
        <v>43.423787061382797</v>
      </c>
      <c r="H104" s="10">
        <v>43.154263735916999</v>
      </c>
      <c r="I104" s="10">
        <v>-4.9832262016183903E-4</v>
      </c>
      <c r="K104" s="10">
        <v>43.581178701306001</v>
      </c>
      <c r="L104" s="10">
        <v>43.280305901929097</v>
      </c>
      <c r="M104" s="10">
        <v>-3.25931230230041E-2</v>
      </c>
      <c r="N104" s="13"/>
      <c r="O104" s="10">
        <v>44.189349612288503</v>
      </c>
      <c r="P104" s="10">
        <v>43.695841767495502</v>
      </c>
      <c r="Q104" s="10">
        <v>-1.4869776720192599E-2</v>
      </c>
      <c r="R104" s="13"/>
      <c r="S104" s="8">
        <v>3.5527136788005009E-15</v>
      </c>
      <c r="T104" s="17"/>
      <c r="U104" s="13">
        <f t="shared" si="8"/>
        <v>0</v>
      </c>
      <c r="V104" s="13">
        <f t="shared" si="9"/>
        <v>-2.8551782971377757E-2</v>
      </c>
      <c r="W104" s="13">
        <f t="shared" si="10"/>
        <v>-1.8674483903690138</v>
      </c>
      <c r="X104" s="13">
        <f t="shared" si="11"/>
        <v>-0.8519754483691232</v>
      </c>
      <c r="Z104" t="str">
        <f t="shared" si="12"/>
        <v>42,43.3125</v>
      </c>
      <c r="AA104" t="str">
        <f t="shared" si="13"/>
        <v>43.4237870613828,43.154263735917</v>
      </c>
      <c r="AB104" t="str">
        <f t="shared" si="14"/>
        <v>43.581178701306,43.2803059019291</v>
      </c>
      <c r="AC104" t="str">
        <f t="shared" si="15"/>
        <v>44.1893496122885,43.6958417674955</v>
      </c>
    </row>
    <row r="105" spans="2:29" x14ac:dyDescent="0.2">
      <c r="B105" s="3">
        <v>103</v>
      </c>
      <c r="C105" s="6">
        <v>42</v>
      </c>
      <c r="D105" s="6">
        <v>44.625</v>
      </c>
      <c r="E105" s="8">
        <v>3.5527136788005009E-15</v>
      </c>
      <c r="F105" s="7"/>
      <c r="G105" s="10">
        <v>43.423133012970901</v>
      </c>
      <c r="H105" s="10">
        <v>44.466763572953397</v>
      </c>
      <c r="I105" s="10">
        <v>-3.25931230230041E-2</v>
      </c>
      <c r="K105" s="10">
        <v>43.538407800948001</v>
      </c>
      <c r="L105" s="10">
        <v>44.592108821609798</v>
      </c>
      <c r="M105" s="10">
        <v>-2.1835401216564299E-2</v>
      </c>
      <c r="N105" s="13"/>
      <c r="O105" s="10">
        <v>44.169833749554698</v>
      </c>
      <c r="P105" s="10">
        <v>45.008196666561197</v>
      </c>
      <c r="Q105" s="10">
        <v>-4.1707387496637202E-3</v>
      </c>
      <c r="R105" s="13"/>
      <c r="S105" s="8">
        <v>3.5527136788005009E-15</v>
      </c>
      <c r="T105" s="17"/>
      <c r="U105" s="13">
        <f t="shared" si="8"/>
        <v>0</v>
      </c>
      <c r="V105" s="13">
        <f t="shared" si="9"/>
        <v>-1.8674483903690138</v>
      </c>
      <c r="W105" s="13">
        <f t="shared" si="10"/>
        <v>-1.251076333684161</v>
      </c>
      <c r="X105" s="13">
        <f t="shared" si="11"/>
        <v>-0.23896572780760472</v>
      </c>
      <c r="Z105" t="str">
        <f t="shared" si="12"/>
        <v>42,44.625</v>
      </c>
      <c r="AA105" t="str">
        <f t="shared" si="13"/>
        <v>43.4231330129709,44.4667635729534</v>
      </c>
      <c r="AB105" t="str">
        <f t="shared" si="14"/>
        <v>43.538407800948,44.5921088216098</v>
      </c>
      <c r="AC105" t="str">
        <f t="shared" si="15"/>
        <v>44.1698337495547,45.0081966665612</v>
      </c>
    </row>
    <row r="106" spans="2:29" x14ac:dyDescent="0.2">
      <c r="B106" s="3">
        <v>104</v>
      </c>
      <c r="C106" s="6">
        <v>42</v>
      </c>
      <c r="D106" s="6">
        <v>45.9375</v>
      </c>
      <c r="E106" s="8">
        <v>3.5527136788005009E-15</v>
      </c>
      <c r="F106" s="7"/>
      <c r="G106" s="10">
        <v>43.3803621126129</v>
      </c>
      <c r="H106" s="10">
        <v>45.778566492633999</v>
      </c>
      <c r="I106" s="10">
        <v>-2.1835401216564299E-2</v>
      </c>
      <c r="K106" s="10">
        <v>43.509751114156501</v>
      </c>
      <c r="L106" s="10">
        <v>45.904295944051597</v>
      </c>
      <c r="M106" s="10">
        <v>-5.5786616073569002E-2</v>
      </c>
      <c r="N106" s="13"/>
      <c r="O106" s="10">
        <v>44.164359670816097</v>
      </c>
      <c r="P106" s="10">
        <v>46.320685251068497</v>
      </c>
      <c r="Q106" s="10">
        <v>-5.5004130843530397E-2</v>
      </c>
      <c r="R106" s="13"/>
      <c r="S106" s="8">
        <v>3.5527136788005009E-15</v>
      </c>
      <c r="T106" s="17"/>
      <c r="U106" s="13">
        <f t="shared" si="8"/>
        <v>0</v>
      </c>
      <c r="V106" s="13">
        <f t="shared" si="9"/>
        <v>-1.251076333684161</v>
      </c>
      <c r="W106" s="13">
        <f t="shared" si="10"/>
        <v>-3.1963376543323871</v>
      </c>
      <c r="X106" s="13">
        <f t="shared" si="11"/>
        <v>-3.1515045531198522</v>
      </c>
      <c r="Z106" t="str">
        <f t="shared" si="12"/>
        <v>42,45.9375</v>
      </c>
      <c r="AA106" t="str">
        <f t="shared" si="13"/>
        <v>43.3803621126129,45.778566492634</v>
      </c>
      <c r="AB106" t="str">
        <f t="shared" si="14"/>
        <v>43.5097511141565,45.9042959440516</v>
      </c>
      <c r="AC106" t="str">
        <f t="shared" si="15"/>
        <v>44.1643596708161,46.3206852510685</v>
      </c>
    </row>
    <row r="107" spans="2:29" x14ac:dyDescent="0.2">
      <c r="B107" s="3">
        <v>105</v>
      </c>
      <c r="C107" s="6">
        <v>42</v>
      </c>
      <c r="D107" s="6">
        <v>47.25</v>
      </c>
      <c r="E107" s="8">
        <v>3.5527136788005009E-15</v>
      </c>
      <c r="F107" s="7"/>
      <c r="G107" s="10">
        <v>43.3517054258214</v>
      </c>
      <c r="H107" s="10">
        <v>47.090753615075798</v>
      </c>
      <c r="I107" s="10">
        <v>-5.5786616073569002E-2</v>
      </c>
      <c r="K107" s="10">
        <v>43.4365691531777</v>
      </c>
      <c r="L107" s="10">
        <v>47.214754127507803</v>
      </c>
      <c r="M107" s="10">
        <v>-5.0261327869523302E-2</v>
      </c>
      <c r="N107" s="13"/>
      <c r="O107" s="10">
        <v>44.092203146309899</v>
      </c>
      <c r="P107" s="10">
        <v>47.631200297136701</v>
      </c>
      <c r="Q107" s="10">
        <v>-3.3055839087251897E-2</v>
      </c>
      <c r="R107" s="13"/>
      <c r="S107" s="8">
        <v>3.5527136788005009E-15</v>
      </c>
      <c r="T107" s="17"/>
      <c r="U107" s="13">
        <f t="shared" si="8"/>
        <v>0</v>
      </c>
      <c r="V107" s="13">
        <f t="shared" si="9"/>
        <v>-3.1963376543323871</v>
      </c>
      <c r="W107" s="13">
        <f t="shared" si="10"/>
        <v>-2.8797619596471504</v>
      </c>
      <c r="X107" s="13">
        <f t="shared" si="11"/>
        <v>-1.8939600679633166</v>
      </c>
      <c r="Z107" t="str">
        <f t="shared" si="12"/>
        <v>42,47.25</v>
      </c>
      <c r="AA107" t="str">
        <f t="shared" si="13"/>
        <v>43.3517054258214,47.0907536150758</v>
      </c>
      <c r="AB107" t="str">
        <f t="shared" si="14"/>
        <v>43.4365691531777,47.2147541275078</v>
      </c>
      <c r="AC107" t="str">
        <f t="shared" si="15"/>
        <v>44.0922031463099,47.6312002971367</v>
      </c>
    </row>
    <row r="108" spans="2:29" x14ac:dyDescent="0.2">
      <c r="B108" s="3">
        <v>106</v>
      </c>
      <c r="C108" s="6">
        <v>42</v>
      </c>
      <c r="D108" s="6">
        <v>48.5625</v>
      </c>
      <c r="E108" s="8">
        <v>3.5527136788005009E-15</v>
      </c>
      <c r="F108" s="7"/>
      <c r="G108" s="10">
        <v>43.2785234648426</v>
      </c>
      <c r="H108" s="10">
        <v>48.401211798532003</v>
      </c>
      <c r="I108" s="10">
        <v>5.3656321859979497E-2</v>
      </c>
      <c r="K108" s="10">
        <v>43.370628931576697</v>
      </c>
      <c r="L108" s="10">
        <v>48.525596657018902</v>
      </c>
      <c r="M108" s="10">
        <v>5.3656321859979497E-2</v>
      </c>
      <c r="N108" s="13"/>
      <c r="O108" s="10">
        <v>44.048825258268302</v>
      </c>
      <c r="P108" s="10">
        <v>48.9429832856028</v>
      </c>
      <c r="Q108" s="10">
        <v>6.17256155051778E-2</v>
      </c>
      <c r="R108" s="13"/>
      <c r="S108" s="8">
        <v>3.5527136788005009E-15</v>
      </c>
      <c r="T108" s="17"/>
      <c r="U108" s="13">
        <f t="shared" si="8"/>
        <v>0</v>
      </c>
      <c r="V108" s="13">
        <f t="shared" si="9"/>
        <v>3.0742807867721611</v>
      </c>
      <c r="W108" s="13">
        <f t="shared" si="10"/>
        <v>3.0742807867721611</v>
      </c>
      <c r="X108" s="13">
        <f t="shared" si="11"/>
        <v>3.5366172562937592</v>
      </c>
      <c r="Z108" t="str">
        <f t="shared" si="12"/>
        <v>42,48.5625</v>
      </c>
      <c r="AA108" t="str">
        <f t="shared" si="13"/>
        <v>43.2785234648426,48.401211798532</v>
      </c>
      <c r="AB108" t="str">
        <f t="shared" si="14"/>
        <v>43.3706289315767,48.5255966570189</v>
      </c>
      <c r="AC108" t="str">
        <f t="shared" si="15"/>
        <v>44.0488252582683,48.9429832856028</v>
      </c>
    </row>
    <row r="109" spans="2:29" x14ac:dyDescent="0.2">
      <c r="B109" s="3">
        <v>107</v>
      </c>
      <c r="C109" s="6">
        <v>42</v>
      </c>
      <c r="D109" s="6">
        <v>49.875</v>
      </c>
      <c r="E109" s="8">
        <v>3.5527136788005009E-15</v>
      </c>
      <c r="F109" s="7"/>
      <c r="G109" s="10">
        <v>43.348913600392102</v>
      </c>
      <c r="H109" s="10">
        <v>49.711822907449303</v>
      </c>
      <c r="I109" s="10">
        <v>5.3656321859979497E-2</v>
      </c>
      <c r="K109" s="10">
        <v>43.441019067126199</v>
      </c>
      <c r="L109" s="10">
        <v>49.836207765936201</v>
      </c>
      <c r="M109" s="10">
        <v>0.101589953666175</v>
      </c>
      <c r="N109" s="13"/>
      <c r="O109" s="10">
        <v>44.129788693278797</v>
      </c>
      <c r="P109" s="10">
        <v>50.252983733004001</v>
      </c>
      <c r="Q109" s="10">
        <v>0.101928258149186</v>
      </c>
      <c r="R109" s="13"/>
      <c r="S109" s="8">
        <v>3.5527136788005009E-15</v>
      </c>
      <c r="T109" s="17"/>
      <c r="U109" s="13">
        <f t="shared" si="8"/>
        <v>0</v>
      </c>
      <c r="V109" s="13">
        <f t="shared" si="9"/>
        <v>3.0742807867721611</v>
      </c>
      <c r="W109" s="13">
        <f t="shared" si="10"/>
        <v>5.820675586001208</v>
      </c>
      <c r="X109" s="13">
        <f t="shared" si="11"/>
        <v>5.8400590050680936</v>
      </c>
      <c r="Z109" t="str">
        <f t="shared" si="12"/>
        <v>42,49.875</v>
      </c>
      <c r="AA109" t="str">
        <f t="shared" si="13"/>
        <v>43.3489136003921,49.7118229074493</v>
      </c>
      <c r="AB109" t="str">
        <f t="shared" si="14"/>
        <v>43.4410190671262,49.8362077659362</v>
      </c>
      <c r="AC109" t="str">
        <f t="shared" si="15"/>
        <v>44.1297886932788,50.252983733004</v>
      </c>
    </row>
    <row r="110" spans="2:29" x14ac:dyDescent="0.2">
      <c r="B110" s="3">
        <v>108</v>
      </c>
      <c r="C110" s="6">
        <v>42</v>
      </c>
      <c r="D110" s="6">
        <v>51.1875</v>
      </c>
      <c r="E110" s="8">
        <v>3.5527136788005009E-15</v>
      </c>
      <c r="F110" s="7"/>
      <c r="G110" s="10">
        <v>43.419303735941597</v>
      </c>
      <c r="H110" s="10">
        <v>51.022434016366503</v>
      </c>
      <c r="I110" s="10">
        <v>0.101589953666175</v>
      </c>
      <c r="K110" s="10">
        <v>43.574126648787903</v>
      </c>
      <c r="L110" s="10">
        <v>51.141940748480501</v>
      </c>
      <c r="M110" s="10">
        <v>7.0638183352127196E-2</v>
      </c>
      <c r="N110" s="13"/>
      <c r="O110" s="10">
        <v>44.263338002636701</v>
      </c>
      <c r="P110" s="10">
        <v>51.5586716099371</v>
      </c>
      <c r="Q110" s="10">
        <v>6.9342848404884194E-2</v>
      </c>
      <c r="R110" s="13"/>
      <c r="S110" s="8">
        <v>3.5527136788005009E-15</v>
      </c>
      <c r="T110" s="17"/>
      <c r="U110" s="13">
        <f t="shared" si="8"/>
        <v>0</v>
      </c>
      <c r="V110" s="13">
        <f t="shared" si="9"/>
        <v>5.820675586001208</v>
      </c>
      <c r="W110" s="13">
        <f t="shared" si="10"/>
        <v>4.0472697785479586</v>
      </c>
      <c r="X110" s="13">
        <f t="shared" si="11"/>
        <v>3.9730525530151333</v>
      </c>
      <c r="Z110" t="str">
        <f t="shared" si="12"/>
        <v>42,51.1875</v>
      </c>
      <c r="AA110" t="str">
        <f t="shared" si="13"/>
        <v>43.4193037359416,51.0224340163665</v>
      </c>
      <c r="AB110" t="str">
        <f t="shared" si="14"/>
        <v>43.5741266487879,51.1419407484805</v>
      </c>
      <c r="AC110" t="str">
        <f t="shared" si="15"/>
        <v>44.2633380026367,51.5586716099371</v>
      </c>
    </row>
    <row r="111" spans="2:29" x14ac:dyDescent="0.2">
      <c r="B111" s="3">
        <v>109</v>
      </c>
      <c r="C111" s="6">
        <v>42</v>
      </c>
      <c r="D111" s="6">
        <v>52.5</v>
      </c>
      <c r="E111" s="8">
        <v>3.5527136788005009E-15</v>
      </c>
      <c r="F111" s="7"/>
      <c r="G111" s="10">
        <v>43.552411317603301</v>
      </c>
      <c r="H111" s="10">
        <v>52.328166998910902</v>
      </c>
      <c r="I111" s="10">
        <v>-6.7056094441462294E-2</v>
      </c>
      <c r="K111" s="10">
        <v>43.6667621814968</v>
      </c>
      <c r="L111" s="10">
        <v>52.451167584471797</v>
      </c>
      <c r="M111" s="10">
        <v>-6.7056094441462294E-2</v>
      </c>
      <c r="N111" s="13"/>
      <c r="O111" s="10">
        <v>44.354277570828998</v>
      </c>
      <c r="P111" s="10">
        <v>52.868017341566798</v>
      </c>
      <c r="Q111" s="10">
        <v>-4.686401125952E-2</v>
      </c>
      <c r="R111" s="13"/>
      <c r="S111" s="8">
        <v>3.5527136788005009E-15</v>
      </c>
      <c r="T111" s="17"/>
      <c r="U111" s="13">
        <f t="shared" si="8"/>
        <v>0</v>
      </c>
      <c r="V111" s="13">
        <f t="shared" si="9"/>
        <v>-3.8420312021266518</v>
      </c>
      <c r="W111" s="13">
        <f t="shared" si="10"/>
        <v>-3.8420312021266518</v>
      </c>
      <c r="X111" s="13">
        <f t="shared" si="11"/>
        <v>-2.6851100562242687</v>
      </c>
      <c r="Z111" t="str">
        <f t="shared" si="12"/>
        <v>42,52.5</v>
      </c>
      <c r="AA111" t="str">
        <f t="shared" si="13"/>
        <v>43.5524113176033,52.3281669989109</v>
      </c>
      <c r="AB111" t="str">
        <f t="shared" si="14"/>
        <v>43.6667621814968,52.4511675844718</v>
      </c>
      <c r="AC111" t="str">
        <f t="shared" si="15"/>
        <v>44.354277570829,52.8680173415668</v>
      </c>
    </row>
    <row r="112" spans="2:29" x14ac:dyDescent="0.2">
      <c r="B112" s="3">
        <v>110</v>
      </c>
      <c r="C112" s="6">
        <v>42</v>
      </c>
      <c r="D112" s="6">
        <v>53.8125</v>
      </c>
      <c r="E112" s="8">
        <v>3.5527136788005009E-15</v>
      </c>
      <c r="F112" s="7"/>
      <c r="G112" s="10">
        <v>43.464466136115099</v>
      </c>
      <c r="H112" s="10">
        <v>53.637717263334899</v>
      </c>
      <c r="I112" s="10">
        <v>8.3707456218344301E-2</v>
      </c>
      <c r="K112" s="10">
        <v>43.578817000008598</v>
      </c>
      <c r="L112" s="10">
        <v>53.760717848895801</v>
      </c>
      <c r="M112" s="10">
        <v>8.3707456218344301E-2</v>
      </c>
      <c r="N112" s="13"/>
      <c r="O112" s="10">
        <v>44.2927910682928</v>
      </c>
      <c r="P112" s="10">
        <v>54.179076325749399</v>
      </c>
      <c r="Q112" s="10">
        <v>8.7796110503677402E-2</v>
      </c>
      <c r="R112" s="13"/>
      <c r="S112" s="8">
        <v>3.5527136788005009E-15</v>
      </c>
      <c r="T112" s="17"/>
      <c r="U112" s="13">
        <f t="shared" si="8"/>
        <v>0</v>
      </c>
      <c r="V112" s="13">
        <f t="shared" si="9"/>
        <v>4.7960839550870435</v>
      </c>
      <c r="W112" s="13">
        <f t="shared" si="10"/>
        <v>4.7960839550870435</v>
      </c>
      <c r="X112" s="13">
        <f t="shared" si="11"/>
        <v>5.0303465895247079</v>
      </c>
      <c r="Z112" t="str">
        <f t="shared" si="12"/>
        <v>42,53.8125</v>
      </c>
      <c r="AA112" t="str">
        <f t="shared" si="13"/>
        <v>43.4644661361151,53.6377172633349</v>
      </c>
      <c r="AB112" t="str">
        <f t="shared" si="14"/>
        <v>43.5788170000086,53.7607178488958</v>
      </c>
      <c r="AC112" t="str">
        <f t="shared" si="15"/>
        <v>44.2927910682928,54.1790763257494</v>
      </c>
    </row>
    <row r="113" spans="2:29" x14ac:dyDescent="0.2">
      <c r="B113" s="3">
        <v>111</v>
      </c>
      <c r="C113" s="6">
        <v>42</v>
      </c>
      <c r="D113" s="6">
        <v>55.125</v>
      </c>
      <c r="E113" s="8">
        <v>3.5527136788005009E-15</v>
      </c>
      <c r="F113" s="7"/>
      <c r="G113" s="10">
        <v>43.574203913256902</v>
      </c>
      <c r="H113" s="10">
        <v>54.9456216444989</v>
      </c>
      <c r="I113" s="10">
        <v>8.3707456218344301E-2</v>
      </c>
      <c r="K113" s="10">
        <v>43.688554777150401</v>
      </c>
      <c r="L113" s="10">
        <v>55.068622230059802</v>
      </c>
      <c r="M113" s="10">
        <v>1.6290321957406199E-2</v>
      </c>
      <c r="N113" s="13"/>
      <c r="O113" s="10">
        <v>44.407875482141101</v>
      </c>
      <c r="P113" s="10">
        <v>55.486521096165802</v>
      </c>
      <c r="Q113" s="10">
        <v>2.8586361262980999E-2</v>
      </c>
      <c r="R113" s="13"/>
      <c r="S113" s="8">
        <v>3.5527136788005009E-15</v>
      </c>
      <c r="T113" s="17"/>
      <c r="U113" s="13">
        <f t="shared" si="8"/>
        <v>0</v>
      </c>
      <c r="V113" s="13">
        <f t="shared" si="9"/>
        <v>4.7960839550870435</v>
      </c>
      <c r="W113" s="13">
        <f t="shared" si="10"/>
        <v>0.9333666950684657</v>
      </c>
      <c r="X113" s="13">
        <f t="shared" si="11"/>
        <v>1.6378778520048731</v>
      </c>
      <c r="Z113" t="str">
        <f t="shared" si="12"/>
        <v>42,55.125</v>
      </c>
      <c r="AA113" t="str">
        <f t="shared" si="13"/>
        <v>43.5742039132569,54.9456216444989</v>
      </c>
      <c r="AB113" t="str">
        <f t="shared" si="14"/>
        <v>43.6885547771504,55.0686222300598</v>
      </c>
      <c r="AC113" t="str">
        <f t="shared" si="15"/>
        <v>44.4078754821411,55.4865210961658</v>
      </c>
    </row>
    <row r="114" spans="2:29" x14ac:dyDescent="0.2">
      <c r="B114" s="3">
        <v>112</v>
      </c>
      <c r="C114" s="6">
        <v>42</v>
      </c>
      <c r="D114" s="6">
        <v>56.4375</v>
      </c>
      <c r="E114" s="8">
        <v>3.5527136788005009E-15</v>
      </c>
      <c r="F114" s="7"/>
      <c r="G114" s="10">
        <v>43.683941690398697</v>
      </c>
      <c r="H114" s="10">
        <v>56.2535260256629</v>
      </c>
      <c r="I114" s="10">
        <v>1.6290321957406199E-2</v>
      </c>
      <c r="K114" s="10">
        <v>43.709934879067603</v>
      </c>
      <c r="L114" s="10">
        <v>56.380948081836699</v>
      </c>
      <c r="M114" s="10">
        <v>1.97039555629582E-2</v>
      </c>
      <c r="N114" s="13"/>
      <c r="O114" s="10">
        <v>44.445389971462902</v>
      </c>
      <c r="P114" s="10">
        <v>56.798484858276197</v>
      </c>
      <c r="Q114" s="10">
        <v>4.0966500219993499E-2</v>
      </c>
      <c r="R114" s="13"/>
      <c r="S114" s="8">
        <v>3.5527136788005009E-15</v>
      </c>
      <c r="T114" s="17"/>
      <c r="U114" s="13">
        <f t="shared" si="8"/>
        <v>0</v>
      </c>
      <c r="V114" s="13">
        <f t="shared" si="9"/>
        <v>0.9333666950684657</v>
      </c>
      <c r="W114" s="13">
        <f t="shared" si="10"/>
        <v>1.1289534934706213</v>
      </c>
      <c r="X114" s="13">
        <f t="shared" si="11"/>
        <v>2.3472075640271823</v>
      </c>
      <c r="Z114" t="str">
        <f t="shared" si="12"/>
        <v>42,56.4375</v>
      </c>
      <c r="AA114" t="str">
        <f t="shared" si="13"/>
        <v>43.6839416903987,56.2535260256629</v>
      </c>
      <c r="AB114" t="str">
        <f t="shared" si="14"/>
        <v>43.7099348790676,56.3809480818367</v>
      </c>
      <c r="AC114" t="str">
        <f t="shared" si="15"/>
        <v>44.4453899714629,56.7984848582762</v>
      </c>
    </row>
    <row r="115" spans="2:29" x14ac:dyDescent="0.2">
      <c r="B115" s="3">
        <v>113</v>
      </c>
      <c r="C115" s="6">
        <v>42</v>
      </c>
      <c r="D115" s="6">
        <v>57.75</v>
      </c>
      <c r="E115" s="8">
        <v>3.5527136788005009E-15</v>
      </c>
      <c r="F115" s="7"/>
      <c r="G115" s="10">
        <v>43.7053217923159</v>
      </c>
      <c r="H115" s="10">
        <v>57.565851877439798</v>
      </c>
      <c r="I115" s="10">
        <v>1.97039555629582E-2</v>
      </c>
      <c r="K115" s="10">
        <v>43.735794647343504</v>
      </c>
      <c r="L115" s="10">
        <v>57.693193303731199</v>
      </c>
      <c r="M115" s="10">
        <v>5.2723192619547402E-2</v>
      </c>
      <c r="N115" s="13"/>
      <c r="O115" s="10">
        <v>44.499143464720099</v>
      </c>
      <c r="P115" s="10">
        <v>58.109883658017402</v>
      </c>
      <c r="Q115" s="10">
        <v>5.8635714137430302E-2</v>
      </c>
      <c r="R115" s="13"/>
      <c r="S115" s="8">
        <v>3.5527136788005009E-15</v>
      </c>
      <c r="T115" s="17"/>
      <c r="U115" s="13">
        <f t="shared" si="8"/>
        <v>0</v>
      </c>
      <c r="V115" s="13">
        <f t="shared" si="9"/>
        <v>1.1289534934706213</v>
      </c>
      <c r="W115" s="13">
        <f t="shared" si="10"/>
        <v>3.0208164195551537</v>
      </c>
      <c r="X115" s="13">
        <f t="shared" si="11"/>
        <v>3.3595789488101273</v>
      </c>
      <c r="Z115" t="str">
        <f t="shared" si="12"/>
        <v>42,57.75</v>
      </c>
      <c r="AA115" t="str">
        <f t="shared" si="13"/>
        <v>43.7053217923159,57.5658518774398</v>
      </c>
      <c r="AB115" t="str">
        <f t="shared" si="14"/>
        <v>43.7357946473435,57.6931933037312</v>
      </c>
      <c r="AC115" t="str">
        <f t="shared" si="15"/>
        <v>44.4991434647201,58.1098836580174</v>
      </c>
    </row>
    <row r="116" spans="2:29" x14ac:dyDescent="0.2">
      <c r="B116" s="3">
        <v>114</v>
      </c>
      <c r="C116" s="6">
        <v>42</v>
      </c>
      <c r="D116" s="6">
        <v>59.0625</v>
      </c>
      <c r="E116" s="8">
        <v>3.5527136788005009E-15</v>
      </c>
      <c r="F116" s="7"/>
      <c r="G116" s="10">
        <v>43.7311815605918</v>
      </c>
      <c r="H116" s="10">
        <v>58.878097099334198</v>
      </c>
      <c r="I116" s="10">
        <v>5.2723192619547402E-2</v>
      </c>
      <c r="K116" s="10">
        <v>43.804961782876497</v>
      </c>
      <c r="L116" s="10">
        <v>59.003869525138299</v>
      </c>
      <c r="M116" s="10">
        <v>8.9673790239294796E-2</v>
      </c>
      <c r="N116" s="13"/>
      <c r="O116" s="10">
        <v>44.576058747498998</v>
      </c>
      <c r="P116" s="10">
        <v>59.420128020445702</v>
      </c>
      <c r="Q116" s="10">
        <v>9.1875356245375503E-2</v>
      </c>
      <c r="R116" s="13"/>
      <c r="S116" s="8">
        <v>3.5527136788005009E-15</v>
      </c>
      <c r="T116" s="17"/>
      <c r="U116" s="13">
        <f t="shared" si="8"/>
        <v>0</v>
      </c>
      <c r="V116" s="13">
        <f t="shared" si="9"/>
        <v>3.0208164195551537</v>
      </c>
      <c r="W116" s="13">
        <f t="shared" si="10"/>
        <v>5.1379297136528255</v>
      </c>
      <c r="X116" s="13">
        <f t="shared" si="11"/>
        <v>5.2640701541207227</v>
      </c>
      <c r="Z116" t="str">
        <f t="shared" si="12"/>
        <v>42,59.0625</v>
      </c>
      <c r="AA116" t="str">
        <f t="shared" si="13"/>
        <v>43.7311815605918,58.8780970993342</v>
      </c>
      <c r="AB116" t="str">
        <f t="shared" si="14"/>
        <v>43.8049617828765,59.0038695251383</v>
      </c>
      <c r="AC116" t="str">
        <f t="shared" si="15"/>
        <v>44.576058747499,59.4201280204457</v>
      </c>
    </row>
    <row r="117" spans="2:29" x14ac:dyDescent="0.2">
      <c r="B117" s="3">
        <v>115</v>
      </c>
      <c r="C117" s="6">
        <v>42</v>
      </c>
      <c r="D117" s="6">
        <v>60.375</v>
      </c>
      <c r="E117" s="8">
        <v>3.5527136788005009E-15</v>
      </c>
      <c r="F117" s="7"/>
      <c r="G117" s="10">
        <v>43.800348696124701</v>
      </c>
      <c r="H117" s="10">
        <v>60.188773320741397</v>
      </c>
      <c r="I117" s="10">
        <v>-0.16166432588890101</v>
      </c>
      <c r="K117" s="10">
        <v>43.922500954957599</v>
      </c>
      <c r="L117" s="10">
        <v>60.311095899193901</v>
      </c>
      <c r="M117" s="10">
        <v>-0.16166432588890101</v>
      </c>
      <c r="N117" s="13"/>
      <c r="O117" s="10">
        <v>44.696475577552903</v>
      </c>
      <c r="P117" s="10">
        <v>60.727092456472803</v>
      </c>
      <c r="Q117" s="10">
        <v>-0.15504802790372901</v>
      </c>
      <c r="R117" s="13"/>
      <c r="S117" s="8">
        <v>3.5527136788005009E-15</v>
      </c>
      <c r="T117" s="17"/>
      <c r="U117" s="13">
        <f t="shared" si="8"/>
        <v>0</v>
      </c>
      <c r="V117" s="13">
        <f t="shared" si="9"/>
        <v>-9.2626835712617623</v>
      </c>
      <c r="W117" s="13">
        <f t="shared" si="10"/>
        <v>-9.2626835712617623</v>
      </c>
      <c r="X117" s="13">
        <f t="shared" si="11"/>
        <v>-8.8835976207104963</v>
      </c>
      <c r="Z117" t="str">
        <f t="shared" si="12"/>
        <v>42,60.375</v>
      </c>
      <c r="AA117" t="str">
        <f t="shared" si="13"/>
        <v>43.8003486961247,60.1887733207414</v>
      </c>
      <c r="AB117" t="str">
        <f t="shared" si="14"/>
        <v>43.9225009549576,60.3110958991939</v>
      </c>
      <c r="AC117" t="str">
        <f t="shared" si="15"/>
        <v>44.6964755775529,60.7270924564728</v>
      </c>
    </row>
    <row r="118" spans="2:29" x14ac:dyDescent="0.2">
      <c r="B118" s="3">
        <v>116</v>
      </c>
      <c r="C118" s="6">
        <v>42</v>
      </c>
      <c r="D118" s="6">
        <v>61.6875</v>
      </c>
      <c r="E118" s="8">
        <v>3.5527136788005009E-15</v>
      </c>
      <c r="F118" s="7"/>
      <c r="G118" s="10">
        <v>43.5890873138949</v>
      </c>
      <c r="H118" s="10">
        <v>61.484159316643101</v>
      </c>
      <c r="I118" s="10">
        <v>-0.61888170911408202</v>
      </c>
      <c r="K118" s="10">
        <v>43.711239572727699</v>
      </c>
      <c r="L118" s="10">
        <v>61.606481895095598</v>
      </c>
      <c r="M118" s="10">
        <v>-0.61888170911408202</v>
      </c>
      <c r="N118" s="13"/>
      <c r="O118" s="10">
        <v>44.493789416555998</v>
      </c>
      <c r="P118" s="10">
        <v>62.023847857518199</v>
      </c>
      <c r="Q118" s="10">
        <v>-0.62997481380323805</v>
      </c>
      <c r="R118" s="13"/>
      <c r="S118" s="8">
        <v>3.5527136788005009E-15</v>
      </c>
      <c r="T118" s="17"/>
      <c r="U118" s="13">
        <f t="shared" si="8"/>
        <v>0</v>
      </c>
      <c r="V118" s="13">
        <f t="shared" si="9"/>
        <v>-35.459309950080197</v>
      </c>
      <c r="W118" s="13">
        <f t="shared" si="10"/>
        <v>-35.459309950080197</v>
      </c>
      <c r="X118" s="13">
        <f t="shared" si="11"/>
        <v>-36.094898030465622</v>
      </c>
      <c r="Z118" t="str">
        <f t="shared" si="12"/>
        <v>42,61.6875</v>
      </c>
      <c r="AA118" t="str">
        <f t="shared" si="13"/>
        <v>43.5890873138949,61.4841593166431</v>
      </c>
      <c r="AB118" t="str">
        <f t="shared" si="14"/>
        <v>43.7112395727277,61.6064818950956</v>
      </c>
      <c r="AC118" t="str">
        <f t="shared" si="15"/>
        <v>44.493789416556,62.0238478575182</v>
      </c>
    </row>
    <row r="119" spans="2:29" x14ac:dyDescent="0.2">
      <c r="B119" s="3">
        <v>117</v>
      </c>
      <c r="C119" s="6">
        <v>42</v>
      </c>
      <c r="D119" s="6">
        <v>61.6875</v>
      </c>
      <c r="E119" s="8">
        <v>-1.5707963267948966</v>
      </c>
      <c r="F119" s="7"/>
      <c r="G119" s="10">
        <v>43.5890873138949</v>
      </c>
      <c r="H119" s="10">
        <v>61.484159316643101</v>
      </c>
      <c r="I119" s="10">
        <v>-1.11185728779413</v>
      </c>
      <c r="K119" s="10">
        <v>43.711239572727699</v>
      </c>
      <c r="L119" s="10">
        <v>61.606481895095598</v>
      </c>
      <c r="M119" s="10">
        <v>-1.11185728779413</v>
      </c>
      <c r="N119" s="13"/>
      <c r="O119" s="10">
        <v>44.493789416555998</v>
      </c>
      <c r="P119" s="10">
        <v>62.023847857518199</v>
      </c>
      <c r="Q119" s="10">
        <v>-1.1298956854331199</v>
      </c>
      <c r="R119" s="13"/>
      <c r="S119" s="8">
        <v>-1.5707963267948966</v>
      </c>
      <c r="T119" s="17"/>
      <c r="U119" s="13">
        <f t="shared" si="8"/>
        <v>0</v>
      </c>
      <c r="V119" s="13">
        <f t="shared" si="9"/>
        <v>26.295269988533811</v>
      </c>
      <c r="W119" s="13">
        <f t="shared" si="10"/>
        <v>26.295269988533811</v>
      </c>
      <c r="X119" s="13">
        <f t="shared" si="11"/>
        <v>25.261745934640938</v>
      </c>
      <c r="Z119" t="str">
        <f t="shared" si="12"/>
        <v>42,61.6875</v>
      </c>
      <c r="AA119" t="str">
        <f t="shared" si="13"/>
        <v>43.5890873138949,61.4841593166431</v>
      </c>
      <c r="AB119" t="str">
        <f t="shared" si="14"/>
        <v>43.7112395727277,61.6064818950956</v>
      </c>
      <c r="AC119" t="str">
        <f t="shared" si="15"/>
        <v>44.493789416556,62.0238478575182</v>
      </c>
    </row>
    <row r="120" spans="2:29" x14ac:dyDescent="0.2">
      <c r="B120" s="3">
        <v>118</v>
      </c>
      <c r="C120" s="6">
        <v>41.4</v>
      </c>
      <c r="D120" s="6">
        <v>61.6875</v>
      </c>
      <c r="E120" s="8">
        <v>-1.5707963267948966</v>
      </c>
      <c r="F120" s="7"/>
      <c r="G120" s="10">
        <v>43.051173511045498</v>
      </c>
      <c r="H120" s="10">
        <v>61.749957624960103</v>
      </c>
      <c r="I120" s="10">
        <v>-1.2670239101658201</v>
      </c>
      <c r="K120" s="10">
        <v>43.173325769878403</v>
      </c>
      <c r="L120" s="10">
        <v>61.8722802034126</v>
      </c>
      <c r="M120" s="10">
        <v>-1.2670239101658201</v>
      </c>
      <c r="N120" s="13"/>
      <c r="O120" s="10">
        <v>43.951168809980899</v>
      </c>
      <c r="P120" s="10">
        <v>62.279900346902899</v>
      </c>
      <c r="Q120" s="10">
        <v>-1.29129494139155</v>
      </c>
      <c r="R120" s="13"/>
      <c r="S120" s="8">
        <v>-1.5707963267948966</v>
      </c>
      <c r="T120" s="17"/>
      <c r="U120" s="13">
        <f t="shared" si="8"/>
        <v>0</v>
      </c>
      <c r="V120" s="13">
        <f t="shared" si="9"/>
        <v>17.40487740533575</v>
      </c>
      <c r="W120" s="13">
        <f t="shared" si="10"/>
        <v>17.40487740533575</v>
      </c>
      <c r="X120" s="13">
        <f t="shared" si="11"/>
        <v>16.014249751671191</v>
      </c>
      <c r="Z120" t="str">
        <f t="shared" si="12"/>
        <v>41.4,61.6875</v>
      </c>
      <c r="AA120" t="str">
        <f t="shared" si="13"/>
        <v>43.0511735110455,61.7499576249601</v>
      </c>
      <c r="AB120" t="str">
        <f t="shared" si="14"/>
        <v>43.1733257698784,61.8722802034126</v>
      </c>
      <c r="AC120" t="str">
        <f t="shared" si="15"/>
        <v>43.9511688099809,62.2799003469029</v>
      </c>
    </row>
    <row r="121" spans="2:29" x14ac:dyDescent="0.2">
      <c r="B121" s="3">
        <v>119</v>
      </c>
      <c r="C121" s="6">
        <v>40.799999999999997</v>
      </c>
      <c r="D121" s="6">
        <v>61.6875</v>
      </c>
      <c r="E121" s="8">
        <v>-1.5707963267948966</v>
      </c>
      <c r="F121" s="7"/>
      <c r="G121" s="10">
        <v>42.478644589838403</v>
      </c>
      <c r="H121" s="10">
        <v>61.929430838508701</v>
      </c>
      <c r="I121" s="10">
        <v>-1.5046265550920701</v>
      </c>
      <c r="K121" s="10">
        <v>42.600796848671301</v>
      </c>
      <c r="L121" s="10">
        <v>62.051753416961198</v>
      </c>
      <c r="M121" s="10">
        <v>-1.5046265550920701</v>
      </c>
      <c r="N121" s="13"/>
      <c r="O121" s="10">
        <v>43.374452941702003</v>
      </c>
      <c r="P121" s="10">
        <v>62.445426197679403</v>
      </c>
      <c r="Q121" s="10">
        <v>-1.5194759956150501</v>
      </c>
      <c r="R121" s="13"/>
      <c r="S121" s="8">
        <v>-1.5707963267948966</v>
      </c>
      <c r="T121" s="17"/>
      <c r="U121" s="13">
        <f t="shared" si="8"/>
        <v>0</v>
      </c>
      <c r="V121" s="13">
        <f t="shared" si="9"/>
        <v>3.7912486499161382</v>
      </c>
      <c r="W121" s="13">
        <f t="shared" si="10"/>
        <v>3.7912486499161382</v>
      </c>
      <c r="X121" s="13">
        <f t="shared" si="11"/>
        <v>2.9404383798188474</v>
      </c>
      <c r="Z121" t="str">
        <f t="shared" si="12"/>
        <v>40.8,61.6875</v>
      </c>
      <c r="AA121" t="str">
        <f t="shared" si="13"/>
        <v>42.4786445898384,61.9294308385087</v>
      </c>
      <c r="AB121" t="str">
        <f t="shared" si="14"/>
        <v>42.6007968486713,62.0517534169612</v>
      </c>
      <c r="AC121" t="str">
        <f t="shared" si="15"/>
        <v>43.374452941702,62.4454261976794</v>
      </c>
    </row>
    <row r="122" spans="2:29" x14ac:dyDescent="0.2">
      <c r="B122" s="3">
        <v>120</v>
      </c>
      <c r="C122" s="6">
        <v>40.200000000000003</v>
      </c>
      <c r="D122" s="6">
        <v>61.6875</v>
      </c>
      <c r="E122" s="8">
        <v>-1.5707963267948966</v>
      </c>
      <c r="F122" s="7"/>
      <c r="G122" s="10">
        <v>41.879957642246403</v>
      </c>
      <c r="H122" s="10">
        <v>61.969103735843497</v>
      </c>
      <c r="I122" s="10">
        <v>-1.5046265550920701</v>
      </c>
      <c r="K122" s="10">
        <v>42.002109901079301</v>
      </c>
      <c r="L122" s="10">
        <v>62.091426314296001</v>
      </c>
      <c r="M122" s="10">
        <v>-1.53075884680573</v>
      </c>
      <c r="N122" s="13"/>
      <c r="O122" s="10">
        <v>42.775242901215499</v>
      </c>
      <c r="P122" s="10">
        <v>62.476204881539502</v>
      </c>
      <c r="Q122" s="10">
        <v>-1.54446185645797</v>
      </c>
      <c r="R122" s="13"/>
      <c r="S122" s="8">
        <v>-1.5707963267948966</v>
      </c>
      <c r="T122" s="17"/>
      <c r="U122" s="13">
        <f t="shared" si="8"/>
        <v>0</v>
      </c>
      <c r="V122" s="13">
        <f t="shared" si="9"/>
        <v>3.7912486499161382</v>
      </c>
      <c r="W122" s="13">
        <f t="shared" si="10"/>
        <v>2.2939786257187302</v>
      </c>
      <c r="X122" s="13">
        <f t="shared" si="11"/>
        <v>1.5088540060183531</v>
      </c>
      <c r="Z122" t="str">
        <f t="shared" si="12"/>
        <v>40.2,61.6875</v>
      </c>
      <c r="AA122" t="str">
        <f t="shared" si="13"/>
        <v>41.8799576422464,61.9691037358435</v>
      </c>
      <c r="AB122" t="str">
        <f t="shared" si="14"/>
        <v>42.0021099010793,62.091426314296</v>
      </c>
      <c r="AC122" t="str">
        <f t="shared" si="15"/>
        <v>42.7752429012155,62.4762048815395</v>
      </c>
    </row>
    <row r="123" spans="2:29" x14ac:dyDescent="0.2">
      <c r="B123" s="3">
        <v>121</v>
      </c>
      <c r="C123" s="6">
        <v>39.6</v>
      </c>
      <c r="D123" s="6">
        <v>61.6875</v>
      </c>
      <c r="E123" s="8">
        <v>-1.5707963267948966</v>
      </c>
      <c r="F123" s="7"/>
      <c r="G123" s="10">
        <v>41.281270694654403</v>
      </c>
      <c r="H123" s="10">
        <v>62.0087766331783</v>
      </c>
      <c r="I123" s="10">
        <v>-1.53075884680573</v>
      </c>
      <c r="K123" s="10">
        <v>41.402590736783701</v>
      </c>
      <c r="L123" s="10">
        <v>62.115442384796602</v>
      </c>
      <c r="M123" s="10">
        <v>-1.6040327440256299</v>
      </c>
      <c r="N123" s="13"/>
      <c r="O123" s="10">
        <v>42.1754509404904</v>
      </c>
      <c r="P123" s="10">
        <v>62.492003737498102</v>
      </c>
      <c r="Q123" s="10">
        <v>-1.6068374130104299</v>
      </c>
      <c r="R123" s="13"/>
      <c r="S123" s="8">
        <v>-1.5707963267948966</v>
      </c>
      <c r="T123" s="17"/>
      <c r="U123" s="13">
        <f t="shared" si="8"/>
        <v>0</v>
      </c>
      <c r="V123" s="13">
        <f t="shared" si="9"/>
        <v>2.2939786257187302</v>
      </c>
      <c r="W123" s="13">
        <f t="shared" si="10"/>
        <v>-1.9043064334569075</v>
      </c>
      <c r="X123" s="13">
        <f t="shared" si="11"/>
        <v>-2.0650021292171905</v>
      </c>
      <c r="Z123" t="str">
        <f t="shared" si="12"/>
        <v>39.6,61.6875</v>
      </c>
      <c r="AA123" t="str">
        <f t="shared" si="13"/>
        <v>41.2812706946544,62.0087766331783</v>
      </c>
      <c r="AB123" t="str">
        <f t="shared" si="14"/>
        <v>41.4025907367837,62.1154423847966</v>
      </c>
      <c r="AC123" t="str">
        <f t="shared" si="15"/>
        <v>42.1754509404904,62.4920037374981</v>
      </c>
    </row>
    <row r="124" spans="2:29" x14ac:dyDescent="0.2">
      <c r="B124" s="3">
        <v>122</v>
      </c>
      <c r="C124" s="6">
        <v>39</v>
      </c>
      <c r="D124" s="6">
        <v>61.6875</v>
      </c>
      <c r="E124" s="8">
        <v>-1.5707963267948966</v>
      </c>
      <c r="F124" s="7"/>
      <c r="G124" s="10">
        <v>40.681751530358802</v>
      </c>
      <c r="H124" s="10">
        <v>62.032792703678901</v>
      </c>
      <c r="I124" s="10">
        <v>-1.6040327440256299</v>
      </c>
      <c r="K124" s="10">
        <v>40.802922104107097</v>
      </c>
      <c r="L124" s="10">
        <v>62.095504205747503</v>
      </c>
      <c r="M124" s="10">
        <v>-1.52686265723541</v>
      </c>
      <c r="N124" s="13"/>
      <c r="O124" s="10">
        <v>41.575840586278503</v>
      </c>
      <c r="P124" s="10">
        <v>62.470383767057299</v>
      </c>
      <c r="Q124" s="10">
        <v>-1.55188075836865</v>
      </c>
      <c r="R124" s="13"/>
      <c r="S124" s="8">
        <v>-1.5707963267948966</v>
      </c>
      <c r="T124" s="17"/>
      <c r="U124" s="13">
        <f t="shared" si="8"/>
        <v>0</v>
      </c>
      <c r="V124" s="13">
        <f t="shared" si="9"/>
        <v>-1.9043064334569075</v>
      </c>
      <c r="W124" s="13">
        <f t="shared" si="10"/>
        <v>2.5172138442809562</v>
      </c>
      <c r="X124" s="13">
        <f t="shared" si="11"/>
        <v>1.083782237914843</v>
      </c>
      <c r="Z124" t="str">
        <f t="shared" si="12"/>
        <v>39,61.6875</v>
      </c>
      <c r="AA124" t="str">
        <f t="shared" si="13"/>
        <v>40.6817515303588,62.0327927036789</v>
      </c>
      <c r="AB124" t="str">
        <f t="shared" si="14"/>
        <v>40.8029221041071,62.0955042057475</v>
      </c>
      <c r="AC124" t="str">
        <f t="shared" si="15"/>
        <v>41.5758405862785,62.4703837670573</v>
      </c>
    </row>
    <row r="125" spans="2:29" x14ac:dyDescent="0.2">
      <c r="B125" s="3">
        <v>123</v>
      </c>
      <c r="C125" s="6">
        <v>38.4</v>
      </c>
      <c r="D125" s="6">
        <v>61.6875</v>
      </c>
      <c r="E125" s="8">
        <v>-1.5707963267948966</v>
      </c>
      <c r="F125" s="7"/>
      <c r="G125" s="10">
        <v>40.082082897682199</v>
      </c>
      <c r="H125" s="10">
        <v>62.012854524629901</v>
      </c>
      <c r="I125" s="10">
        <v>-1.52686265723541</v>
      </c>
      <c r="K125" s="10">
        <v>40.203501061170698</v>
      </c>
      <c r="L125" s="10">
        <v>62.121855928368298</v>
      </c>
      <c r="M125" s="10">
        <v>-1.47731307947417</v>
      </c>
      <c r="N125" s="13"/>
      <c r="O125" s="10">
        <v>40.975947922696697</v>
      </c>
      <c r="P125" s="10">
        <v>62.481732431328503</v>
      </c>
      <c r="Q125" s="10">
        <v>-1.4901149810335099</v>
      </c>
      <c r="R125" s="13"/>
      <c r="S125" s="8">
        <v>-1.5707963267948966</v>
      </c>
      <c r="T125" s="17"/>
      <c r="U125" s="13">
        <f t="shared" si="8"/>
        <v>0</v>
      </c>
      <c r="V125" s="13">
        <f t="shared" si="9"/>
        <v>2.5172138442809562</v>
      </c>
      <c r="W125" s="13">
        <f t="shared" si="10"/>
        <v>5.3561955266552923</v>
      </c>
      <c r="X125" s="13">
        <f t="shared" si="11"/>
        <v>4.6227005975631679</v>
      </c>
      <c r="Z125" t="str">
        <f t="shared" si="12"/>
        <v>38.4,61.6875</v>
      </c>
      <c r="AA125" t="str">
        <f t="shared" si="13"/>
        <v>40.0820828976822,62.0128545246299</v>
      </c>
      <c r="AB125" t="str">
        <f t="shared" si="14"/>
        <v>40.2035010611707,62.1218559283683</v>
      </c>
      <c r="AC125" t="str">
        <f t="shared" si="15"/>
        <v>40.9759479226967,62.4817324313285</v>
      </c>
    </row>
    <row r="126" spans="2:29" x14ac:dyDescent="0.2">
      <c r="B126" s="3">
        <v>124</v>
      </c>
      <c r="C126" s="6">
        <v>37.799999999999997</v>
      </c>
      <c r="D126" s="6">
        <v>61.6875</v>
      </c>
      <c r="E126" s="8">
        <v>-1.5707963267948966</v>
      </c>
      <c r="F126" s="7"/>
      <c r="G126" s="10">
        <v>39.4826618547458</v>
      </c>
      <c r="H126" s="10">
        <v>62.039206247250597</v>
      </c>
      <c r="I126" s="10">
        <v>-1.47731307947417</v>
      </c>
      <c r="K126" s="10">
        <v>39.6061208876813</v>
      </c>
      <c r="L126" s="10">
        <v>62.1778642163423</v>
      </c>
      <c r="M126" s="10">
        <v>-1.49737531087454</v>
      </c>
      <c r="N126" s="13"/>
      <c r="O126" s="10">
        <v>40.377899707459598</v>
      </c>
      <c r="P126" s="10">
        <v>62.530088736519303</v>
      </c>
      <c r="Q126" s="10">
        <v>-1.5190384200290801</v>
      </c>
      <c r="R126" s="13"/>
      <c r="S126" s="8">
        <v>-1.5707963267948966</v>
      </c>
      <c r="T126" s="17"/>
      <c r="U126" s="13">
        <f t="shared" si="8"/>
        <v>0</v>
      </c>
      <c r="V126" s="13">
        <f t="shared" si="9"/>
        <v>5.3561955266552923</v>
      </c>
      <c r="W126" s="13">
        <f t="shared" si="10"/>
        <v>4.2067143397992552</v>
      </c>
      <c r="X126" s="13">
        <f t="shared" si="11"/>
        <v>2.9655096141128934</v>
      </c>
      <c r="Z126" t="str">
        <f t="shared" si="12"/>
        <v>37.8,61.6875</v>
      </c>
      <c r="AA126" t="str">
        <f t="shared" si="13"/>
        <v>39.4826618547458,62.0392062472506</v>
      </c>
      <c r="AB126" t="str">
        <f t="shared" si="14"/>
        <v>39.6061208876813,62.1778642163423</v>
      </c>
      <c r="AC126" t="str">
        <f t="shared" si="15"/>
        <v>40.3778997074596,62.5300887365193</v>
      </c>
    </row>
    <row r="127" spans="2:29" x14ac:dyDescent="0.2">
      <c r="B127" s="3">
        <v>125</v>
      </c>
      <c r="C127" s="6">
        <v>37.200000000000003</v>
      </c>
      <c r="D127" s="6">
        <v>61.6875</v>
      </c>
      <c r="E127" s="8">
        <v>-1.5707963267948966</v>
      </c>
      <c r="F127" s="7"/>
      <c r="G127" s="10">
        <v>38.885281681256401</v>
      </c>
      <c r="H127" s="10">
        <v>62.095214535224599</v>
      </c>
      <c r="I127" s="10">
        <v>-1.49737531087454</v>
      </c>
      <c r="K127" s="10">
        <v>39.007737355008999</v>
      </c>
      <c r="L127" s="10">
        <v>62.221877257893397</v>
      </c>
      <c r="M127" s="10">
        <v>-1.5172857689285599</v>
      </c>
      <c r="N127" s="13"/>
      <c r="O127" s="10">
        <v>39.7787031923394</v>
      </c>
      <c r="P127" s="10">
        <v>62.561129617109003</v>
      </c>
      <c r="Q127" s="10">
        <v>-1.5345791076389801</v>
      </c>
      <c r="R127" s="13"/>
      <c r="S127" s="8">
        <v>-1.5707963267948966</v>
      </c>
      <c r="T127" s="17"/>
      <c r="U127" s="13">
        <f t="shared" si="8"/>
        <v>0</v>
      </c>
      <c r="V127" s="13">
        <f t="shared" si="9"/>
        <v>4.2067143397992552</v>
      </c>
      <c r="W127" s="13">
        <f t="shared" si="10"/>
        <v>3.0659291251316558</v>
      </c>
      <c r="X127" s="13">
        <f t="shared" si="11"/>
        <v>2.0750938033343713</v>
      </c>
      <c r="Z127" t="str">
        <f t="shared" si="12"/>
        <v>37.2,61.6875</v>
      </c>
      <c r="AA127" t="str">
        <f t="shared" si="13"/>
        <v>38.8852816812564,62.0952145352246</v>
      </c>
      <c r="AB127" t="str">
        <f t="shared" si="14"/>
        <v>39.007737355009,62.2218772578934</v>
      </c>
      <c r="AC127" t="str">
        <f t="shared" si="15"/>
        <v>39.7787031923394,62.561129617109</v>
      </c>
    </row>
    <row r="128" spans="2:29" x14ac:dyDescent="0.2">
      <c r="B128" s="3">
        <v>126</v>
      </c>
      <c r="C128" s="6">
        <v>36.6</v>
      </c>
      <c r="D128" s="6">
        <v>61.6875</v>
      </c>
      <c r="E128" s="8">
        <v>-1.5707963267948966</v>
      </c>
      <c r="F128" s="7"/>
      <c r="G128" s="10">
        <v>38.2868981485841</v>
      </c>
      <c r="H128" s="10">
        <v>62.139227576775703</v>
      </c>
      <c r="I128" s="10">
        <v>-1.5172857689285599</v>
      </c>
      <c r="K128" s="10">
        <v>38.408596163995902</v>
      </c>
      <c r="L128" s="10">
        <v>62.253968272701698</v>
      </c>
      <c r="M128" s="10">
        <v>-1.58731771587362</v>
      </c>
      <c r="N128" s="13"/>
      <c r="O128" s="10">
        <v>39.179096655417197</v>
      </c>
      <c r="P128" s="10">
        <v>62.582855198348703</v>
      </c>
      <c r="Q128" s="10">
        <v>-1.6119222806786799</v>
      </c>
      <c r="R128" s="13"/>
      <c r="S128" s="8">
        <v>-1.5707963267948966</v>
      </c>
      <c r="T128" s="17"/>
      <c r="U128" s="13">
        <f t="shared" si="8"/>
        <v>0</v>
      </c>
      <c r="V128" s="13">
        <f t="shared" si="9"/>
        <v>3.0659291251316558</v>
      </c>
      <c r="W128" s="13">
        <f t="shared" si="10"/>
        <v>-0.94660586590438622</v>
      </c>
      <c r="X128" s="13">
        <f t="shared" si="11"/>
        <v>-2.3563435859904436</v>
      </c>
      <c r="Z128" t="str">
        <f t="shared" si="12"/>
        <v>36.6,61.6875</v>
      </c>
      <c r="AA128" t="str">
        <f t="shared" si="13"/>
        <v>38.2868981485841,62.1392275767757</v>
      </c>
      <c r="AB128" t="str">
        <f t="shared" si="14"/>
        <v>38.4085961639959,62.2539682727017</v>
      </c>
      <c r="AC128" t="str">
        <f t="shared" si="15"/>
        <v>39.1790966554172,62.5828551983487</v>
      </c>
    </row>
    <row r="129" spans="2:29" x14ac:dyDescent="0.2">
      <c r="B129" s="3">
        <v>127</v>
      </c>
      <c r="C129" s="6">
        <v>36</v>
      </c>
      <c r="D129" s="6">
        <v>61.6875</v>
      </c>
      <c r="E129" s="8">
        <v>-1.5707963267948966</v>
      </c>
      <c r="F129" s="7"/>
      <c r="G129" s="10">
        <v>37.687756957570997</v>
      </c>
      <c r="H129" s="10">
        <v>62.171318591583997</v>
      </c>
      <c r="I129" s="10">
        <v>-1.58731771587362</v>
      </c>
      <c r="K129" s="10">
        <v>37.808678049022397</v>
      </c>
      <c r="L129" s="10">
        <v>62.244055890209999</v>
      </c>
      <c r="M129" s="10">
        <v>-1.5624439102407599</v>
      </c>
      <c r="N129" s="13"/>
      <c r="O129" s="10">
        <v>38.57960398713</v>
      </c>
      <c r="P129" s="10">
        <v>62.558186581244101</v>
      </c>
      <c r="Q129" s="10">
        <v>-1.55467295375495</v>
      </c>
      <c r="R129" s="13"/>
      <c r="S129" s="8">
        <v>-1.5707963267948966</v>
      </c>
      <c r="T129" s="17"/>
      <c r="U129" s="13">
        <f t="shared" si="8"/>
        <v>0</v>
      </c>
      <c r="V129" s="13">
        <f t="shared" si="9"/>
        <v>-0.94660586590438622</v>
      </c>
      <c r="W129" s="13">
        <f t="shared" si="10"/>
        <v>0.47855821728723258</v>
      </c>
      <c r="X129" s="13">
        <f t="shared" si="11"/>
        <v>0.92380122670395615</v>
      </c>
      <c r="Z129" t="str">
        <f t="shared" si="12"/>
        <v>36,61.6875</v>
      </c>
      <c r="AA129" t="str">
        <f t="shared" si="13"/>
        <v>37.687756957571,62.171318591584</v>
      </c>
      <c r="AB129" t="str">
        <f t="shared" si="14"/>
        <v>37.8086780490224,62.24405589021</v>
      </c>
      <c r="AC129" t="str">
        <f t="shared" si="15"/>
        <v>38.57960398713,62.5581865812441</v>
      </c>
    </row>
    <row r="130" spans="2:29" x14ac:dyDescent="0.2">
      <c r="B130" s="3">
        <v>128</v>
      </c>
      <c r="C130" s="6">
        <v>35.4</v>
      </c>
      <c r="D130" s="6">
        <v>61.6875</v>
      </c>
      <c r="E130" s="8">
        <v>-1.5707963267948966</v>
      </c>
      <c r="F130" s="7"/>
      <c r="G130" s="10">
        <v>37.087838842597499</v>
      </c>
      <c r="H130" s="10">
        <v>62.161406209092299</v>
      </c>
      <c r="I130" s="10">
        <v>-1.5624439102407599</v>
      </c>
      <c r="K130" s="10">
        <v>37.208698977759397</v>
      </c>
      <c r="L130" s="10">
        <v>62.249067281873799</v>
      </c>
      <c r="M130" s="10">
        <v>-1.5404746139585801</v>
      </c>
      <c r="N130" s="13"/>
      <c r="O130" s="10">
        <v>37.979681974387901</v>
      </c>
      <c r="P130" s="10">
        <v>62.567860185925198</v>
      </c>
      <c r="Q130" s="10">
        <v>-1.55505729066913</v>
      </c>
      <c r="R130" s="13"/>
      <c r="S130" s="8">
        <v>-1.5707963267948966</v>
      </c>
      <c r="T130" s="17"/>
      <c r="U130" s="13">
        <f t="shared" si="8"/>
        <v>0</v>
      </c>
      <c r="V130" s="13">
        <f t="shared" si="9"/>
        <v>0.47855821728723258</v>
      </c>
      <c r="W130" s="13">
        <f t="shared" si="10"/>
        <v>1.7373061731285859</v>
      </c>
      <c r="X130" s="13">
        <f t="shared" si="11"/>
        <v>0.90178034361035753</v>
      </c>
      <c r="Z130" t="str">
        <f t="shared" si="12"/>
        <v>35.4,61.6875</v>
      </c>
      <c r="AA130" t="str">
        <f t="shared" si="13"/>
        <v>37.0878388425975,62.1614062090923</v>
      </c>
      <c r="AB130" t="str">
        <f t="shared" si="14"/>
        <v>37.2086989777594,62.2490672818738</v>
      </c>
      <c r="AC130" t="str">
        <f t="shared" si="15"/>
        <v>37.9796819743879,62.5678601859252</v>
      </c>
    </row>
    <row r="131" spans="2:29" x14ac:dyDescent="0.2">
      <c r="B131" s="3">
        <v>129</v>
      </c>
      <c r="C131" s="6">
        <v>34.799999999999997</v>
      </c>
      <c r="D131" s="6">
        <v>61.6875</v>
      </c>
      <c r="E131" s="8">
        <v>-1.5707963267948966</v>
      </c>
      <c r="F131" s="7"/>
      <c r="G131" s="10">
        <v>36.487859771334499</v>
      </c>
      <c r="H131" s="10">
        <v>62.166417600756098</v>
      </c>
      <c r="I131" s="10">
        <v>-1.5404746139585801</v>
      </c>
      <c r="K131" s="10">
        <v>36.608974778508198</v>
      </c>
      <c r="L131" s="10">
        <v>62.267257521906501</v>
      </c>
      <c r="M131" s="10">
        <v>-1.5592905154298999</v>
      </c>
      <c r="N131" s="13"/>
      <c r="O131" s="10">
        <v>37.379756288031302</v>
      </c>
      <c r="P131" s="10">
        <v>62.577303217722402</v>
      </c>
      <c r="Q131" s="10">
        <v>-1.5704365496249399</v>
      </c>
      <c r="R131" s="13"/>
      <c r="S131" s="8">
        <v>-1.5707963267948966</v>
      </c>
      <c r="T131" s="17"/>
      <c r="U131" s="13">
        <f t="shared" si="8"/>
        <v>0</v>
      </c>
      <c r="V131" s="13">
        <f t="shared" si="9"/>
        <v>1.7373061731285859</v>
      </c>
      <c r="W131" s="13">
        <f t="shared" si="10"/>
        <v>0.6592344310879632</v>
      </c>
      <c r="X131" s="13">
        <f t="shared" si="11"/>
        <v>2.0613713403674669E-2</v>
      </c>
      <c r="Z131" t="str">
        <f t="shared" si="12"/>
        <v>34.8,61.6875</v>
      </c>
      <c r="AA131" t="str">
        <f t="shared" si="13"/>
        <v>36.4878597713345,62.1664176007561</v>
      </c>
      <c r="AB131" t="str">
        <f t="shared" si="14"/>
        <v>36.6089747785082,62.2672575219065</v>
      </c>
      <c r="AC131" t="str">
        <f t="shared" si="15"/>
        <v>37.3797562880313,62.5773032177224</v>
      </c>
    </row>
    <row r="132" spans="2:29" x14ac:dyDescent="0.2">
      <c r="B132" s="3">
        <v>130</v>
      </c>
      <c r="C132" s="6">
        <v>34.200000000000003</v>
      </c>
      <c r="D132" s="6">
        <v>61.6875</v>
      </c>
      <c r="E132" s="8">
        <v>-1.5707963267948966</v>
      </c>
      <c r="F132" s="7"/>
      <c r="G132" s="10">
        <v>35.8881355720833</v>
      </c>
      <c r="H132" s="10">
        <v>62.1846078407888</v>
      </c>
      <c r="I132" s="10">
        <v>-1.5592905154298999</v>
      </c>
      <c r="K132" s="10">
        <v>36.009014493178597</v>
      </c>
      <c r="L132" s="10">
        <v>62.274160856408301</v>
      </c>
      <c r="M132" s="10">
        <v>-1.46642975201363</v>
      </c>
      <c r="N132" s="13"/>
      <c r="O132" s="10">
        <v>36.7797563268632</v>
      </c>
      <c r="P132" s="10">
        <v>62.577519084019798</v>
      </c>
      <c r="Q132" s="10">
        <v>-1.4911896259360899</v>
      </c>
      <c r="R132" s="13"/>
      <c r="S132" s="8">
        <v>-1.5707963267948966</v>
      </c>
      <c r="T132" s="17"/>
      <c r="U132" s="13">
        <f t="shared" ref="U132:U195" si="16">E132-S132</f>
        <v>0</v>
      </c>
      <c r="V132" s="13">
        <f t="shared" ref="V132:V195" si="17">(I132-S132)*180/PI()</f>
        <v>0.6592344310879632</v>
      </c>
      <c r="W132" s="13">
        <f t="shared" ref="W132:W195" si="18">(M132-S132)*180/PI()</f>
        <v>5.9797642572030663</v>
      </c>
      <c r="X132" s="13">
        <f t="shared" ref="X132:X195" si="19">(Q132-S132)*180/PI()</f>
        <v>4.5611279801700846</v>
      </c>
      <c r="Z132" t="str">
        <f t="shared" ref="Z132:Z195" si="20">C132&amp;","&amp;D132</f>
        <v>34.2,61.6875</v>
      </c>
      <c r="AA132" t="str">
        <f t="shared" ref="AA132:AA195" si="21">G132&amp;","&amp;H132</f>
        <v>35.8881355720833,62.1846078407888</v>
      </c>
      <c r="AB132" t="str">
        <f t="shared" ref="AB132:AB195" si="22">K132&amp;","&amp;L132</f>
        <v>36.0090144931786,62.2741608564083</v>
      </c>
      <c r="AC132" t="str">
        <f t="shared" ref="AC132:AC195" si="23">O132&amp;","&amp;P132</f>
        <v>36.7797563268632,62.5775190840198</v>
      </c>
    </row>
    <row r="133" spans="2:29" x14ac:dyDescent="0.2">
      <c r="B133" s="3">
        <v>131</v>
      </c>
      <c r="C133" s="6">
        <v>33.6</v>
      </c>
      <c r="D133" s="6">
        <v>61.6875</v>
      </c>
      <c r="E133" s="8">
        <v>-1.5707963267948966</v>
      </c>
      <c r="F133" s="7"/>
      <c r="G133" s="10">
        <v>35.288175286753699</v>
      </c>
      <c r="H133" s="10">
        <v>62.1915111752906</v>
      </c>
      <c r="I133" s="10">
        <v>-1.46642975201363</v>
      </c>
      <c r="K133" s="10">
        <v>35.412279242735202</v>
      </c>
      <c r="L133" s="10">
        <v>62.336667183114002</v>
      </c>
      <c r="M133" s="10">
        <v>-1.5150760633225999</v>
      </c>
      <c r="N133" s="13"/>
      <c r="O133" s="10">
        <v>36.181656491110701</v>
      </c>
      <c r="P133" s="10">
        <v>62.625232671945803</v>
      </c>
      <c r="Q133" s="10">
        <v>-1.5433014540285499</v>
      </c>
      <c r="R133" s="13"/>
      <c r="S133" s="8">
        <v>-1.5707963267948966</v>
      </c>
      <c r="T133" s="17"/>
      <c r="U133" s="13">
        <f t="shared" si="16"/>
        <v>0</v>
      </c>
      <c r="V133" s="13">
        <f t="shared" si="17"/>
        <v>5.9797642572030663</v>
      </c>
      <c r="W133" s="13">
        <f t="shared" si="18"/>
        <v>3.1925359303195626</v>
      </c>
      <c r="X133" s="13">
        <f t="shared" si="19"/>
        <v>1.5753401677608498</v>
      </c>
      <c r="Z133" t="str">
        <f t="shared" si="20"/>
        <v>33.6,61.6875</v>
      </c>
      <c r="AA133" t="str">
        <f t="shared" si="21"/>
        <v>35.2881752867537,62.1915111752906</v>
      </c>
      <c r="AB133" t="str">
        <f t="shared" si="22"/>
        <v>35.4122792427352,62.336667183114</v>
      </c>
      <c r="AC133" t="str">
        <f t="shared" si="23"/>
        <v>36.1816564911107,62.6252326719458</v>
      </c>
    </row>
    <row r="134" spans="2:29" x14ac:dyDescent="0.2">
      <c r="B134" s="3">
        <v>132</v>
      </c>
      <c r="C134" s="6">
        <v>33</v>
      </c>
      <c r="D134" s="6">
        <v>61.6875</v>
      </c>
      <c r="E134" s="8">
        <v>-1.5707963267948966</v>
      </c>
      <c r="F134" s="7"/>
      <c r="G134" s="10">
        <v>34.691440036310297</v>
      </c>
      <c r="H134" s="10">
        <v>62.254017501996302</v>
      </c>
      <c r="I134" s="10">
        <v>-1.5150760633225999</v>
      </c>
      <c r="K134" s="10">
        <v>34.813210426102103</v>
      </c>
      <c r="L134" s="10">
        <v>62.3700820441464</v>
      </c>
      <c r="M134" s="10">
        <v>-1.4971989076561101</v>
      </c>
      <c r="N134" s="13"/>
      <c r="O134" s="10">
        <v>35.581883267232399</v>
      </c>
      <c r="P134" s="10">
        <v>62.641727517159701</v>
      </c>
      <c r="Q134" s="10">
        <v>-1.51983483187991</v>
      </c>
      <c r="R134" s="13"/>
      <c r="S134" s="8">
        <v>-1.5707963267948966</v>
      </c>
      <c r="T134" s="17"/>
      <c r="U134" s="13">
        <f t="shared" si="16"/>
        <v>0</v>
      </c>
      <c r="V134" s="13">
        <f t="shared" si="17"/>
        <v>3.1925359303195626</v>
      </c>
      <c r="W134" s="13">
        <f t="shared" si="18"/>
        <v>4.2168214997078151</v>
      </c>
      <c r="X134" s="13">
        <f t="shared" si="19"/>
        <v>2.9198785763061368</v>
      </c>
      <c r="Z134" t="str">
        <f t="shared" si="20"/>
        <v>33,61.6875</v>
      </c>
      <c r="AA134" t="str">
        <f t="shared" si="21"/>
        <v>34.6914400363103,62.2540175019963</v>
      </c>
      <c r="AB134" t="str">
        <f t="shared" si="22"/>
        <v>34.8132104261021,62.3700820441464</v>
      </c>
      <c r="AC134" t="str">
        <f t="shared" si="23"/>
        <v>35.5818832672324,62.6417275171597</v>
      </c>
    </row>
    <row r="135" spans="2:29" x14ac:dyDescent="0.2">
      <c r="B135" s="3">
        <v>133</v>
      </c>
      <c r="C135" s="6">
        <v>32.4</v>
      </c>
      <c r="D135" s="6">
        <v>61.6875</v>
      </c>
      <c r="E135" s="8">
        <v>-1.5707963267948966</v>
      </c>
      <c r="F135" s="7"/>
      <c r="G135" s="10">
        <v>34.092371219677197</v>
      </c>
      <c r="H135" s="10">
        <v>62.287432363028699</v>
      </c>
      <c r="I135" s="10">
        <v>-1.4971989076561101</v>
      </c>
      <c r="K135" s="10">
        <v>34.214834666782203</v>
      </c>
      <c r="L135" s="10">
        <v>62.414200641793201</v>
      </c>
      <c r="M135" s="10">
        <v>-1.5235859943375401</v>
      </c>
      <c r="N135" s="13"/>
      <c r="O135" s="10">
        <v>34.982662220816302</v>
      </c>
      <c r="P135" s="10">
        <v>62.672291180750101</v>
      </c>
      <c r="Q135" s="10">
        <v>-1.54034048605812</v>
      </c>
      <c r="R135" s="13"/>
      <c r="S135" s="8">
        <v>-1.5707963267948966</v>
      </c>
      <c r="T135" s="17"/>
      <c r="U135" s="13">
        <f t="shared" si="16"/>
        <v>0</v>
      </c>
      <c r="V135" s="13">
        <f t="shared" si="17"/>
        <v>4.2168214997078151</v>
      </c>
      <c r="W135" s="13">
        <f t="shared" si="18"/>
        <v>2.7049527992160125</v>
      </c>
      <c r="X135" s="13">
        <f t="shared" si="19"/>
        <v>1.7449911357398993</v>
      </c>
      <c r="Z135" t="str">
        <f t="shared" si="20"/>
        <v>32.4,61.6875</v>
      </c>
      <c r="AA135" t="str">
        <f t="shared" si="21"/>
        <v>34.0923712196772,62.2874323630287</v>
      </c>
      <c r="AB135" t="str">
        <f t="shared" si="22"/>
        <v>34.2148346667822,62.4142006417932</v>
      </c>
      <c r="AC135" t="str">
        <f t="shared" si="23"/>
        <v>34.9826622208163,62.6722911807501</v>
      </c>
    </row>
    <row r="136" spans="2:29" x14ac:dyDescent="0.2">
      <c r="B136" s="3">
        <v>134</v>
      </c>
      <c r="C136" s="6">
        <v>31.799999999999901</v>
      </c>
      <c r="D136" s="6">
        <v>61.6875</v>
      </c>
      <c r="E136" s="8">
        <v>-1.5707963267948966</v>
      </c>
      <c r="F136" s="7"/>
      <c r="G136" s="10">
        <v>33.493995460357297</v>
      </c>
      <c r="H136" s="10">
        <v>62.3315509606755</v>
      </c>
      <c r="I136" s="10">
        <v>-1.3866336094642999</v>
      </c>
      <c r="K136" s="10">
        <v>33.615503187248201</v>
      </c>
      <c r="L136" s="10">
        <v>62.442516320128099</v>
      </c>
      <c r="M136" s="10">
        <v>-1.3866336094642999</v>
      </c>
      <c r="N136" s="13"/>
      <c r="O136" s="10">
        <v>34.3829404667784</v>
      </c>
      <c r="P136" s="10">
        <v>62.6905618603666</v>
      </c>
      <c r="Q136" s="10">
        <v>-1.4057343465296399</v>
      </c>
      <c r="R136" s="13"/>
      <c r="S136" s="8">
        <v>-1.5707963267948966</v>
      </c>
      <c r="T136" s="17"/>
      <c r="U136" s="13">
        <f t="shared" si="16"/>
        <v>0</v>
      </c>
      <c r="V136" s="13">
        <f t="shared" si="17"/>
        <v>10.551746446703969</v>
      </c>
      <c r="W136" s="13">
        <f t="shared" si="18"/>
        <v>10.551746446703969</v>
      </c>
      <c r="X136" s="13">
        <f t="shared" si="19"/>
        <v>9.4573548272708905</v>
      </c>
      <c r="Z136" t="str">
        <f t="shared" si="20"/>
        <v>31.7999999999999,61.6875</v>
      </c>
      <c r="AA136" t="str">
        <f t="shared" si="21"/>
        <v>33.4939954603573,62.3315509606755</v>
      </c>
      <c r="AB136" t="str">
        <f t="shared" si="22"/>
        <v>33.6155031872482,62.4425163201281</v>
      </c>
      <c r="AC136" t="str">
        <f t="shared" si="23"/>
        <v>34.3829404667784,62.6905618603666</v>
      </c>
    </row>
    <row r="137" spans="2:29" x14ac:dyDescent="0.2">
      <c r="B137" s="3">
        <v>135</v>
      </c>
      <c r="C137" s="6">
        <v>31.1999999999999</v>
      </c>
      <c r="D137" s="6">
        <v>61.6875</v>
      </c>
      <c r="E137" s="8">
        <v>-1.5707963267948966</v>
      </c>
      <c r="F137" s="7"/>
      <c r="G137" s="10">
        <v>32.904141507567097</v>
      </c>
      <c r="H137" s="10">
        <v>62.441425044871004</v>
      </c>
      <c r="I137" s="10">
        <v>-1.5233204183598701</v>
      </c>
      <c r="K137" s="10">
        <v>33.025649234458001</v>
      </c>
      <c r="L137" s="10">
        <v>62.552390404323702</v>
      </c>
      <c r="M137" s="10">
        <v>-1.5233204183598701</v>
      </c>
      <c r="N137" s="13"/>
      <c r="O137" s="10">
        <v>33.791095562949202</v>
      </c>
      <c r="P137" s="10">
        <v>62.789149941854298</v>
      </c>
      <c r="Q137" s="10">
        <v>-1.5187976717712499</v>
      </c>
      <c r="R137" s="13"/>
      <c r="S137" s="8">
        <v>-1.5707963267948966</v>
      </c>
      <c r="T137" s="17"/>
      <c r="U137" s="13">
        <f t="shared" si="16"/>
        <v>0</v>
      </c>
      <c r="V137" s="13">
        <f t="shared" si="17"/>
        <v>2.7201691818765616</v>
      </c>
      <c r="W137" s="13">
        <f t="shared" si="18"/>
        <v>2.7201691818765616</v>
      </c>
      <c r="X137" s="13">
        <f t="shared" si="19"/>
        <v>2.9793034732116888</v>
      </c>
      <c r="Z137" t="str">
        <f t="shared" si="20"/>
        <v>31.1999999999999,61.6875</v>
      </c>
      <c r="AA137" t="str">
        <f t="shared" si="21"/>
        <v>32.9041415075671,62.441425044871</v>
      </c>
      <c r="AB137" t="str">
        <f t="shared" si="22"/>
        <v>33.025649234458,62.5523904043237</v>
      </c>
      <c r="AC137" t="str">
        <f t="shared" si="23"/>
        <v>33.7910955629492,62.7891499418543</v>
      </c>
    </row>
    <row r="138" spans="2:29" x14ac:dyDescent="0.2">
      <c r="B138" s="3">
        <v>136</v>
      </c>
      <c r="C138" s="6">
        <v>30.599999999999898</v>
      </c>
      <c r="D138" s="6">
        <v>61.6875</v>
      </c>
      <c r="E138" s="8">
        <v>-1.5707963267948966</v>
      </c>
      <c r="F138" s="7"/>
      <c r="G138" s="10">
        <v>32.304817569132602</v>
      </c>
      <c r="H138" s="10">
        <v>62.469899890249202</v>
      </c>
      <c r="I138" s="10">
        <v>-1.5233204183598701</v>
      </c>
      <c r="K138" s="10">
        <v>32.426325296023499</v>
      </c>
      <c r="L138" s="10">
        <v>62.580865249701802</v>
      </c>
      <c r="M138" s="10">
        <v>-1.4383081255562999</v>
      </c>
      <c r="N138" s="13"/>
      <c r="O138" s="10">
        <v>33.1919065382315</v>
      </c>
      <c r="P138" s="10">
        <v>62.8203350770602</v>
      </c>
      <c r="Q138" s="10">
        <v>-1.48054028144629</v>
      </c>
      <c r="R138" s="13"/>
      <c r="S138" s="8">
        <v>-1.5707963267948966</v>
      </c>
      <c r="T138" s="17"/>
      <c r="U138" s="13">
        <f t="shared" si="16"/>
        <v>0</v>
      </c>
      <c r="V138" s="13">
        <f t="shared" si="17"/>
        <v>2.7201691818765616</v>
      </c>
      <c r="W138" s="13">
        <f t="shared" si="18"/>
        <v>7.5910147662515124</v>
      </c>
      <c r="X138" s="13">
        <f t="shared" si="19"/>
        <v>5.1712904740165202</v>
      </c>
      <c r="Z138" t="str">
        <f t="shared" si="20"/>
        <v>30.5999999999999,61.6875</v>
      </c>
      <c r="AA138" t="str">
        <f t="shared" si="21"/>
        <v>32.3048175691326,62.4698998902492</v>
      </c>
      <c r="AB138" t="str">
        <f t="shared" si="22"/>
        <v>32.4263252960235,62.5808652497018</v>
      </c>
      <c r="AC138" t="str">
        <f t="shared" si="23"/>
        <v>33.1919065382315,62.8203350770602</v>
      </c>
    </row>
    <row r="139" spans="2:29" x14ac:dyDescent="0.2">
      <c r="B139" s="3">
        <v>137</v>
      </c>
      <c r="C139" s="6">
        <v>29.999999999999901</v>
      </c>
      <c r="D139" s="6">
        <v>61.6875</v>
      </c>
      <c r="E139" s="8">
        <v>-1.5707963267948966</v>
      </c>
      <c r="F139" s="7"/>
      <c r="G139" s="10">
        <v>31.705493630698001</v>
      </c>
      <c r="H139" s="10">
        <v>62.498374735627301</v>
      </c>
      <c r="I139" s="10">
        <v>-1.63408035854871</v>
      </c>
      <c r="K139" s="10">
        <v>31.831583534765599</v>
      </c>
      <c r="L139" s="10">
        <v>62.660125816290297</v>
      </c>
      <c r="M139" s="10">
        <v>-1.63408035854871</v>
      </c>
      <c r="N139" s="13"/>
      <c r="O139" s="10">
        <v>32.594348725803002</v>
      </c>
      <c r="P139" s="10">
        <v>62.874415210248401</v>
      </c>
      <c r="Q139" s="10">
        <v>-1.65714363398257</v>
      </c>
      <c r="R139" s="13"/>
      <c r="S139" s="8">
        <v>-1.5707963267948966</v>
      </c>
      <c r="T139" s="17"/>
      <c r="U139" s="13">
        <f t="shared" si="16"/>
        <v>0</v>
      </c>
      <c r="V139" s="13">
        <f t="shared" si="17"/>
        <v>-3.6259079300653969</v>
      </c>
      <c r="W139" s="13">
        <f t="shared" si="18"/>
        <v>-3.6259079300653969</v>
      </c>
      <c r="X139" s="13">
        <f t="shared" si="19"/>
        <v>-4.9473362741733276</v>
      </c>
      <c r="Z139" t="str">
        <f t="shared" si="20"/>
        <v>29.9999999999999,61.6875</v>
      </c>
      <c r="AA139" t="str">
        <f t="shared" si="21"/>
        <v>31.705493630698,62.4983747356273</v>
      </c>
      <c r="AB139" t="str">
        <f t="shared" si="22"/>
        <v>31.8315835347656,62.6601258162903</v>
      </c>
      <c r="AC139" t="str">
        <f t="shared" si="23"/>
        <v>32.594348725803,62.8744152102484</v>
      </c>
    </row>
    <row r="140" spans="2:29" x14ac:dyDescent="0.2">
      <c r="B140" s="3">
        <v>138</v>
      </c>
      <c r="C140" s="6">
        <v>29.399999999999899</v>
      </c>
      <c r="D140" s="6">
        <v>61.6875</v>
      </c>
      <c r="E140" s="8">
        <v>-1.5707963267948966</v>
      </c>
      <c r="F140" s="7"/>
      <c r="G140" s="10">
        <v>31.106694690379701</v>
      </c>
      <c r="H140" s="10">
        <v>62.460429655924102</v>
      </c>
      <c r="I140" s="10">
        <v>-1.51538140686141</v>
      </c>
      <c r="K140" s="10">
        <v>31.232784594447299</v>
      </c>
      <c r="L140" s="10">
        <v>62.622180736587097</v>
      </c>
      <c r="M140" s="10">
        <v>-1.51538140686141</v>
      </c>
      <c r="N140" s="13"/>
      <c r="O140" s="10">
        <v>31.9965840936406</v>
      </c>
      <c r="P140" s="10">
        <v>62.822671181261398</v>
      </c>
      <c r="Q140" s="10">
        <v>-1.5437632942712001</v>
      </c>
      <c r="R140" s="13"/>
      <c r="S140" s="8">
        <v>-1.5707963267948966</v>
      </c>
      <c r="T140" s="17"/>
      <c r="U140" s="13">
        <f t="shared" si="16"/>
        <v>0</v>
      </c>
      <c r="V140" s="13">
        <f t="shared" si="17"/>
        <v>3.1750410342441571</v>
      </c>
      <c r="W140" s="13">
        <f t="shared" si="18"/>
        <v>3.1750410342441571</v>
      </c>
      <c r="X140" s="13">
        <f t="shared" si="19"/>
        <v>1.5488786710476974</v>
      </c>
      <c r="Z140" t="str">
        <f t="shared" si="20"/>
        <v>29.3999999999999,61.6875</v>
      </c>
      <c r="AA140" t="str">
        <f t="shared" si="21"/>
        <v>31.1066946903797,62.4604296559241</v>
      </c>
      <c r="AB140" t="str">
        <f t="shared" si="22"/>
        <v>31.2327845944473,62.6221807365871</v>
      </c>
      <c r="AC140" t="str">
        <f t="shared" si="23"/>
        <v>31.9965840936406,62.8226711812614</v>
      </c>
    </row>
    <row r="141" spans="2:29" x14ac:dyDescent="0.2">
      <c r="B141" s="3">
        <v>139</v>
      </c>
      <c r="C141" s="6">
        <v>28.799999999999901</v>
      </c>
      <c r="D141" s="6">
        <v>61.6875</v>
      </c>
      <c r="E141" s="8">
        <v>-1.5707963267948966</v>
      </c>
      <c r="F141" s="7"/>
      <c r="G141" s="10">
        <v>30.507615698661901</v>
      </c>
      <c r="H141" s="10">
        <v>62.493661593609197</v>
      </c>
      <c r="I141" s="10">
        <v>-1.51538140686141</v>
      </c>
      <c r="K141" s="10">
        <v>30.633705602729499</v>
      </c>
      <c r="L141" s="10">
        <v>62.655412674272199</v>
      </c>
      <c r="M141" s="10">
        <v>-1.56730515766405</v>
      </c>
      <c r="N141" s="13"/>
      <c r="O141" s="10">
        <v>31.396803315743998</v>
      </c>
      <c r="P141" s="10">
        <v>62.8388890253147</v>
      </c>
      <c r="Q141" s="10">
        <v>-1.60353020688851</v>
      </c>
      <c r="R141" s="13"/>
      <c r="S141" s="8">
        <v>-1.5707963267948966</v>
      </c>
      <c r="T141" s="17"/>
      <c r="U141" s="13">
        <f t="shared" si="16"/>
        <v>0</v>
      </c>
      <c r="V141" s="13">
        <f t="shared" si="17"/>
        <v>3.1750410342441571</v>
      </c>
      <c r="W141" s="13">
        <f t="shared" si="18"/>
        <v>0.20002925676386443</v>
      </c>
      <c r="X141" s="13">
        <f t="shared" si="19"/>
        <v>-1.8755131764513504</v>
      </c>
      <c r="Z141" t="str">
        <f t="shared" si="20"/>
        <v>28.7999999999999,61.6875</v>
      </c>
      <c r="AA141" t="str">
        <f t="shared" si="21"/>
        <v>30.5076156986619,62.4936615936092</v>
      </c>
      <c r="AB141" t="str">
        <f t="shared" si="22"/>
        <v>30.6337056027295,62.6554126742722</v>
      </c>
      <c r="AC141" t="str">
        <f t="shared" si="23"/>
        <v>31.396803315744,62.8388890253147</v>
      </c>
    </row>
    <row r="142" spans="2:29" x14ac:dyDescent="0.2">
      <c r="B142" s="3">
        <v>140</v>
      </c>
      <c r="C142" s="6">
        <v>28.1999999999999</v>
      </c>
      <c r="D142" s="6">
        <v>61.6875</v>
      </c>
      <c r="E142" s="8">
        <v>-1.5707963267948966</v>
      </c>
      <c r="F142" s="7"/>
      <c r="G142" s="10">
        <v>29.908536706943998</v>
      </c>
      <c r="H142" s="10">
        <v>62.526893531294299</v>
      </c>
      <c r="I142" s="10">
        <v>-1.56730515766405</v>
      </c>
      <c r="K142" s="10">
        <v>30.033709259204301</v>
      </c>
      <c r="L142" s="10">
        <v>62.657507371495598</v>
      </c>
      <c r="M142" s="10">
        <v>-1.6153223409097399</v>
      </c>
      <c r="N142" s="13"/>
      <c r="O142" s="10">
        <v>30.797124739113599</v>
      </c>
      <c r="P142" s="10">
        <v>62.819252204528503</v>
      </c>
      <c r="Q142" s="10">
        <v>-1.6445052941994001</v>
      </c>
      <c r="R142" s="13"/>
      <c r="S142" s="8">
        <v>-1.5707963267948966</v>
      </c>
      <c r="T142" s="17"/>
      <c r="U142" s="13">
        <f t="shared" si="16"/>
        <v>0</v>
      </c>
      <c r="V142" s="13">
        <f t="shared" si="17"/>
        <v>0.20002925676386443</v>
      </c>
      <c r="W142" s="13">
        <f t="shared" si="18"/>
        <v>-2.5511526873204566</v>
      </c>
      <c r="X142" s="13">
        <f t="shared" si="19"/>
        <v>-4.2232127445454042</v>
      </c>
      <c r="Z142" t="str">
        <f t="shared" si="20"/>
        <v>28.1999999999999,61.6875</v>
      </c>
      <c r="AA142" t="str">
        <f t="shared" si="21"/>
        <v>29.908536706944,62.5268935312943</v>
      </c>
      <c r="AB142" t="str">
        <f t="shared" si="22"/>
        <v>30.0337092592043,62.6575073714956</v>
      </c>
      <c r="AC142" t="str">
        <f t="shared" si="23"/>
        <v>30.7971247391136,62.8192522045285</v>
      </c>
    </row>
    <row r="143" spans="2:29" x14ac:dyDescent="0.2">
      <c r="B143" s="3">
        <v>141</v>
      </c>
      <c r="C143" s="6">
        <v>27.599999999999898</v>
      </c>
      <c r="D143" s="6">
        <v>61.6875</v>
      </c>
      <c r="E143" s="8">
        <v>-1.5707963267948966</v>
      </c>
      <c r="F143" s="7"/>
      <c r="G143" s="10">
        <v>29.308540363418899</v>
      </c>
      <c r="H143" s="10">
        <v>62.528988228517598</v>
      </c>
      <c r="I143" s="10">
        <v>-1.6153223409097399</v>
      </c>
      <c r="K143" s="10">
        <v>29.4343039307265</v>
      </c>
      <c r="L143" s="10">
        <v>62.6308005897275</v>
      </c>
      <c r="M143" s="10">
        <v>-1.55838262217124</v>
      </c>
      <c r="N143" s="13"/>
      <c r="O143" s="10">
        <v>30.198753904869601</v>
      </c>
      <c r="P143" s="10">
        <v>62.7750668593782</v>
      </c>
      <c r="Q143" s="10">
        <v>-1.58173916451059</v>
      </c>
      <c r="R143" s="13"/>
      <c r="S143" s="8">
        <v>-1.5707963267948966</v>
      </c>
      <c r="T143" s="17"/>
      <c r="U143" s="13">
        <f t="shared" si="16"/>
        <v>0</v>
      </c>
      <c r="V143" s="13">
        <f t="shared" si="17"/>
        <v>-2.5511526873204566</v>
      </c>
      <c r="W143" s="13">
        <f t="shared" si="18"/>
        <v>0.71125288305755574</v>
      </c>
      <c r="X143" s="13">
        <f t="shared" si="19"/>
        <v>-0.62697841700581547</v>
      </c>
      <c r="Z143" t="str">
        <f t="shared" si="20"/>
        <v>27.5999999999999,61.6875</v>
      </c>
      <c r="AA143" t="str">
        <f t="shared" si="21"/>
        <v>29.3085403634189,62.5289882285176</v>
      </c>
      <c r="AB143" t="str">
        <f t="shared" si="22"/>
        <v>29.4343039307265,62.6308005897275</v>
      </c>
      <c r="AC143" t="str">
        <f t="shared" si="23"/>
        <v>30.1987539048696,62.7750668593782</v>
      </c>
    </row>
    <row r="144" spans="2:29" x14ac:dyDescent="0.2">
      <c r="B144" s="3">
        <v>142</v>
      </c>
      <c r="C144" s="6">
        <v>26.999999999999901</v>
      </c>
      <c r="D144" s="6">
        <v>61.6875</v>
      </c>
      <c r="E144" s="8">
        <v>-1.5707963267948966</v>
      </c>
      <c r="F144" s="7"/>
      <c r="G144" s="10">
        <v>28.709135034941099</v>
      </c>
      <c r="H144" s="10">
        <v>62.502281446749599</v>
      </c>
      <c r="I144" s="10">
        <v>-1.55838262217124</v>
      </c>
      <c r="K144" s="10">
        <v>28.834350160151601</v>
      </c>
      <c r="L144" s="10">
        <v>62.6382486212079</v>
      </c>
      <c r="M144" s="10">
        <v>-1.5941985649608399</v>
      </c>
      <c r="N144" s="13"/>
      <c r="O144" s="10">
        <v>29.598789828220301</v>
      </c>
      <c r="P144" s="10">
        <v>62.7685012877837</v>
      </c>
      <c r="Q144" s="10">
        <v>-1.6179411085215301</v>
      </c>
      <c r="R144" s="13"/>
      <c r="S144" s="8">
        <v>-1.5707963267948966</v>
      </c>
      <c r="T144" s="17"/>
      <c r="U144" s="13">
        <f t="shared" si="16"/>
        <v>0</v>
      </c>
      <c r="V144" s="13">
        <f t="shared" si="17"/>
        <v>0.71125288305755574</v>
      </c>
      <c r="W144" s="13">
        <f t="shared" si="18"/>
        <v>-1.3408494780685294</v>
      </c>
      <c r="X144" s="13">
        <f t="shared" si="19"/>
        <v>-2.7011970190015857</v>
      </c>
      <c r="Z144" t="str">
        <f t="shared" si="20"/>
        <v>26.9999999999999,61.6875</v>
      </c>
      <c r="AA144" t="str">
        <f t="shared" si="21"/>
        <v>28.7091350349411,62.5022814467496</v>
      </c>
      <c r="AB144" t="str">
        <f t="shared" si="22"/>
        <v>28.8343501601516,62.6382486212079</v>
      </c>
      <c r="AC144" t="str">
        <f t="shared" si="23"/>
        <v>29.5987898282203,62.7685012877837</v>
      </c>
    </row>
    <row r="145" spans="2:29" x14ac:dyDescent="0.2">
      <c r="B145" s="3">
        <v>143</v>
      </c>
      <c r="C145" s="6">
        <v>26.399999999999899</v>
      </c>
      <c r="D145" s="6">
        <v>61.6875</v>
      </c>
      <c r="E145" s="8">
        <v>-1.5707963267948966</v>
      </c>
      <c r="F145" s="7"/>
      <c r="G145" s="10">
        <v>28.1091812643661</v>
      </c>
      <c r="H145" s="10">
        <v>62.50972947823</v>
      </c>
      <c r="I145" s="10">
        <v>-1.5941985649608399</v>
      </c>
      <c r="K145" s="10">
        <v>28.234514452078699</v>
      </c>
      <c r="L145" s="10">
        <v>62.624208559931397</v>
      </c>
      <c r="M145" s="10">
        <v>-1.53616065663243</v>
      </c>
      <c r="N145" s="13"/>
      <c r="O145" s="10">
        <v>28.9994564938605</v>
      </c>
      <c r="P145" s="10">
        <v>62.740224896126001</v>
      </c>
      <c r="Q145" s="10">
        <v>-1.5488582608660599</v>
      </c>
      <c r="R145" s="13"/>
      <c r="S145" s="8">
        <v>-1.5707963267948966</v>
      </c>
      <c r="T145" s="17"/>
      <c r="U145" s="13">
        <f t="shared" si="16"/>
        <v>0</v>
      </c>
      <c r="V145" s="13">
        <f t="shared" si="17"/>
        <v>-1.3408494780685294</v>
      </c>
      <c r="W145" s="13">
        <f t="shared" si="18"/>
        <v>1.9844777209165307</v>
      </c>
      <c r="X145" s="13">
        <f t="shared" si="19"/>
        <v>1.2569585884020869</v>
      </c>
      <c r="Z145" t="str">
        <f t="shared" si="20"/>
        <v>26.3999999999999,61.6875</v>
      </c>
      <c r="AA145" t="str">
        <f t="shared" si="21"/>
        <v>28.1091812643661,62.50972947823</v>
      </c>
      <c r="AB145" t="str">
        <f t="shared" si="22"/>
        <v>28.2345144520787,62.6242085599314</v>
      </c>
      <c r="AC145" t="str">
        <f t="shared" si="23"/>
        <v>28.9994564938605,62.740224896126</v>
      </c>
    </row>
    <row r="146" spans="2:29" x14ac:dyDescent="0.2">
      <c r="B146" s="3">
        <v>144</v>
      </c>
      <c r="C146" s="6">
        <v>25.799999999999901</v>
      </c>
      <c r="D146" s="6">
        <v>61.6875</v>
      </c>
      <c r="E146" s="8">
        <v>-1.5707963267948966</v>
      </c>
      <c r="F146" s="7"/>
      <c r="G146" s="10">
        <v>27.509345556293201</v>
      </c>
      <c r="H146" s="10">
        <v>62.495689416953397</v>
      </c>
      <c r="I146" s="10">
        <v>-1.53616065663243</v>
      </c>
      <c r="K146" s="10">
        <v>27.6348743049966</v>
      </c>
      <c r="L146" s="10">
        <v>62.644985807280399</v>
      </c>
      <c r="M146" s="10">
        <v>-1.44562364290356</v>
      </c>
      <c r="N146" s="13"/>
      <c r="O146" s="10">
        <v>28.3996008716909</v>
      </c>
      <c r="P146" s="10">
        <v>62.7533866798763</v>
      </c>
      <c r="Q146" s="10">
        <v>-1.46536804493244</v>
      </c>
      <c r="R146" s="13"/>
      <c r="S146" s="8">
        <v>-1.5707963267948966</v>
      </c>
      <c r="T146" s="17"/>
      <c r="U146" s="13">
        <f t="shared" si="16"/>
        <v>0</v>
      </c>
      <c r="V146" s="13">
        <f t="shared" si="17"/>
        <v>1.9844777209165307</v>
      </c>
      <c r="W146" s="13">
        <f t="shared" si="18"/>
        <v>7.171866497298768</v>
      </c>
      <c r="X146" s="13">
        <f t="shared" si="19"/>
        <v>6.0405955920344079</v>
      </c>
      <c r="Z146" t="str">
        <f t="shared" si="20"/>
        <v>25.7999999999999,61.6875</v>
      </c>
      <c r="AA146" t="str">
        <f t="shared" si="21"/>
        <v>27.5093455562932,62.4956894169534</v>
      </c>
      <c r="AB146" t="str">
        <f t="shared" si="22"/>
        <v>27.6348743049966,62.6449858072804</v>
      </c>
      <c r="AC146" t="str">
        <f t="shared" si="23"/>
        <v>28.3996008716909,62.7533866798763</v>
      </c>
    </row>
    <row r="147" spans="2:29" x14ac:dyDescent="0.2">
      <c r="B147" s="3">
        <v>145</v>
      </c>
      <c r="C147" s="6">
        <v>25.1999999999999</v>
      </c>
      <c r="D147" s="6">
        <v>61.6875</v>
      </c>
      <c r="E147" s="8">
        <v>-1.5707963267948966</v>
      </c>
      <c r="F147" s="7"/>
      <c r="G147" s="10">
        <v>26.909705409211099</v>
      </c>
      <c r="H147" s="10">
        <v>62.516466664302399</v>
      </c>
      <c r="I147" s="10">
        <v>-1.6024820327323499</v>
      </c>
      <c r="K147" s="10">
        <v>27.039568631125899</v>
      </c>
      <c r="L147" s="10">
        <v>62.719893448128197</v>
      </c>
      <c r="M147" s="10">
        <v>-1.6024820327323499</v>
      </c>
      <c r="N147" s="13"/>
      <c r="O147" s="10">
        <v>27.802932320971198</v>
      </c>
      <c r="P147" s="10">
        <v>62.816526529274697</v>
      </c>
      <c r="Q147" s="10">
        <v>-1.6261202994756501</v>
      </c>
      <c r="R147" s="13"/>
      <c r="S147" s="8">
        <v>-1.5707963267948966</v>
      </c>
      <c r="T147" s="17"/>
      <c r="U147" s="13">
        <f t="shared" si="16"/>
        <v>0</v>
      </c>
      <c r="V147" s="13">
        <f t="shared" si="17"/>
        <v>-1.8154572211086903</v>
      </c>
      <c r="W147" s="13">
        <f t="shared" si="18"/>
        <v>-1.8154572211086903</v>
      </c>
      <c r="X147" s="13">
        <f t="shared" si="19"/>
        <v>-3.1698301405042426</v>
      </c>
      <c r="Z147" t="str">
        <f t="shared" si="20"/>
        <v>25.1999999999999,61.6875</v>
      </c>
      <c r="AA147" t="str">
        <f t="shared" si="21"/>
        <v>26.9097054092111,62.5164666643024</v>
      </c>
      <c r="AB147" t="str">
        <f t="shared" si="22"/>
        <v>27.0395686311259,62.7198934481282</v>
      </c>
      <c r="AC147" t="str">
        <f t="shared" si="23"/>
        <v>27.8029323209712,62.8165265292747</v>
      </c>
    </row>
    <row r="148" spans="2:29" x14ac:dyDescent="0.2">
      <c r="B148" s="3">
        <v>146</v>
      </c>
      <c r="C148" s="6">
        <v>24.599999999999898</v>
      </c>
      <c r="D148" s="6">
        <v>61.6875</v>
      </c>
      <c r="E148" s="8">
        <v>-1.5707963267948966</v>
      </c>
      <c r="F148" s="7"/>
      <c r="G148" s="10">
        <v>26.3100065792006</v>
      </c>
      <c r="H148" s="10">
        <v>62.497458421774297</v>
      </c>
      <c r="I148" s="10">
        <v>-1.6024820327323499</v>
      </c>
      <c r="K148" s="10">
        <v>26.4398698011154</v>
      </c>
      <c r="L148" s="10">
        <v>62.700885205600102</v>
      </c>
      <c r="M148" s="10">
        <v>-1.6062463054870499</v>
      </c>
      <c r="N148" s="13"/>
      <c r="O148" s="10">
        <v>27.203850309377501</v>
      </c>
      <c r="P148" s="10">
        <v>62.783349076315403</v>
      </c>
      <c r="Q148" s="10">
        <v>-1.60920505370276</v>
      </c>
      <c r="R148" s="13"/>
      <c r="S148" s="8">
        <v>-1.5707963267948966</v>
      </c>
      <c r="T148" s="17"/>
      <c r="U148" s="13">
        <f t="shared" si="16"/>
        <v>0</v>
      </c>
      <c r="V148" s="13">
        <f t="shared" si="17"/>
        <v>-1.8154572211086903</v>
      </c>
      <c r="W148" s="13">
        <f t="shared" si="18"/>
        <v>-2.0311341628890869</v>
      </c>
      <c r="X148" s="13">
        <f t="shared" si="19"/>
        <v>-2.2006579482911368</v>
      </c>
      <c r="Z148" t="str">
        <f t="shared" si="20"/>
        <v>24.5999999999999,61.6875</v>
      </c>
      <c r="AA148" t="str">
        <f t="shared" si="21"/>
        <v>26.3100065792006,62.4974584217743</v>
      </c>
      <c r="AB148" t="str">
        <f t="shared" si="22"/>
        <v>26.4398698011154,62.7008852056001</v>
      </c>
      <c r="AC148" t="str">
        <f t="shared" si="23"/>
        <v>27.2038503093775,62.7833490763154</v>
      </c>
    </row>
    <row r="149" spans="2:29" x14ac:dyDescent="0.2">
      <c r="B149" s="3">
        <v>147</v>
      </c>
      <c r="C149" s="6">
        <v>23.999999999999901</v>
      </c>
      <c r="D149" s="6">
        <v>61.6875</v>
      </c>
      <c r="E149" s="8">
        <v>-1.5707963267948966</v>
      </c>
      <c r="F149" s="7"/>
      <c r="G149" s="10">
        <v>25.7103077491901</v>
      </c>
      <c r="H149" s="10">
        <v>62.478450179246202</v>
      </c>
      <c r="I149" s="10">
        <v>-1.6062463054870499</v>
      </c>
      <c r="K149" s="10">
        <v>25.840246771931401</v>
      </c>
      <c r="L149" s="10">
        <v>62.679619673107197</v>
      </c>
      <c r="M149" s="10">
        <v>-1.6265697956279701</v>
      </c>
      <c r="N149" s="13"/>
      <c r="O149" s="10">
        <v>26.6042928240634</v>
      </c>
      <c r="P149" s="10">
        <v>62.760309505924603</v>
      </c>
      <c r="Q149" s="10">
        <v>-1.64879397829476</v>
      </c>
      <c r="R149" s="13"/>
      <c r="S149" s="8">
        <v>-1.5707963267948966</v>
      </c>
      <c r="T149" s="17"/>
      <c r="U149" s="13">
        <f t="shared" si="16"/>
        <v>0</v>
      </c>
      <c r="V149" s="13">
        <f t="shared" si="17"/>
        <v>-2.0311341628890869</v>
      </c>
      <c r="W149" s="13">
        <f t="shared" si="18"/>
        <v>-3.195584372939551</v>
      </c>
      <c r="X149" s="13">
        <f t="shared" si="19"/>
        <v>-4.4689362428744133</v>
      </c>
      <c r="Z149" t="str">
        <f t="shared" si="20"/>
        <v>23.9999999999999,61.6875</v>
      </c>
      <c r="AA149" t="str">
        <f t="shared" si="21"/>
        <v>25.7103077491901,62.4784501792462</v>
      </c>
      <c r="AB149" t="str">
        <f t="shared" si="22"/>
        <v>25.8402467719314,62.6796196731072</v>
      </c>
      <c r="AC149" t="str">
        <f t="shared" si="23"/>
        <v>26.6042928240634,62.7603095059246</v>
      </c>
    </row>
    <row r="150" spans="2:29" x14ac:dyDescent="0.2">
      <c r="B150" s="3">
        <v>148</v>
      </c>
      <c r="C150" s="6">
        <v>23.399999999999899</v>
      </c>
      <c r="D150" s="6">
        <v>61.6875</v>
      </c>
      <c r="E150" s="8">
        <v>-1.5707963267948966</v>
      </c>
      <c r="F150" s="7"/>
      <c r="G150" s="10">
        <v>25.110684720006098</v>
      </c>
      <c r="H150" s="10">
        <v>62.457184646753298</v>
      </c>
      <c r="I150" s="10">
        <v>-1.6265697956279701</v>
      </c>
      <c r="K150" s="10">
        <v>25.241179733995999</v>
      </c>
      <c r="L150" s="10">
        <v>62.646172938449602</v>
      </c>
      <c r="M150" s="10">
        <v>-1.5783210707364399</v>
      </c>
      <c r="N150" s="13"/>
      <c r="O150" s="10">
        <v>26.006116989077899</v>
      </c>
      <c r="P150" s="10">
        <v>62.713558351506698</v>
      </c>
      <c r="Q150" s="10">
        <v>-1.5918520210798801</v>
      </c>
      <c r="R150" s="13"/>
      <c r="S150" s="8">
        <v>-1.5707963267948966</v>
      </c>
      <c r="T150" s="17"/>
      <c r="U150" s="13">
        <f t="shared" si="16"/>
        <v>0</v>
      </c>
      <c r="V150" s="13">
        <f t="shared" si="17"/>
        <v>-3.195584372939551</v>
      </c>
      <c r="W150" s="13">
        <f t="shared" si="18"/>
        <v>-0.43113606976706942</v>
      </c>
      <c r="X150" s="13">
        <f t="shared" si="19"/>
        <v>-1.2064024172472851</v>
      </c>
      <c r="Z150" t="str">
        <f t="shared" si="20"/>
        <v>23.3999999999999,61.6875</v>
      </c>
      <c r="AA150" t="str">
        <f t="shared" si="21"/>
        <v>25.1106847200061,62.4571846467533</v>
      </c>
      <c r="AB150" t="str">
        <f t="shared" si="22"/>
        <v>25.241179733996,62.6461729384496</v>
      </c>
      <c r="AC150" t="str">
        <f t="shared" si="23"/>
        <v>26.0061169890779,62.7135583515067</v>
      </c>
    </row>
    <row r="151" spans="2:29" x14ac:dyDescent="0.2">
      <c r="B151" s="3">
        <v>149</v>
      </c>
      <c r="C151" s="6">
        <v>22.799999999999901</v>
      </c>
      <c r="D151" s="6">
        <v>61.6875</v>
      </c>
      <c r="E151" s="8">
        <v>-1.5707963267948966</v>
      </c>
      <c r="F151" s="7"/>
      <c r="G151" s="10">
        <v>24.5116176820706</v>
      </c>
      <c r="H151" s="10">
        <v>62.423737912095703</v>
      </c>
      <c r="I151" s="10">
        <v>-1.5783210707364399</v>
      </c>
      <c r="K151" s="10">
        <v>24.641196720447201</v>
      </c>
      <c r="L151" s="10">
        <v>62.641658134690999</v>
      </c>
      <c r="M151" s="10">
        <v>-1.6086193043996699</v>
      </c>
      <c r="N151" s="13"/>
      <c r="O151" s="10">
        <v>25.406249986842699</v>
      </c>
      <c r="P151" s="10">
        <v>62.700925868402898</v>
      </c>
      <c r="Q151" s="10">
        <v>-1.6171640418354101</v>
      </c>
      <c r="R151" s="13"/>
      <c r="S151" s="8">
        <v>-1.5707963267948966</v>
      </c>
      <c r="T151" s="17"/>
      <c r="U151" s="13">
        <f t="shared" si="16"/>
        <v>0</v>
      </c>
      <c r="V151" s="13">
        <f t="shared" si="17"/>
        <v>-0.43113606976706942</v>
      </c>
      <c r="W151" s="13">
        <f t="shared" si="18"/>
        <v>-2.1670969853713462</v>
      </c>
      <c r="X151" s="13">
        <f t="shared" si="19"/>
        <v>-2.6566743774866932</v>
      </c>
      <c r="Z151" t="str">
        <f t="shared" si="20"/>
        <v>22.7999999999999,61.6875</v>
      </c>
      <c r="AA151" t="str">
        <f t="shared" si="21"/>
        <v>24.5116176820706,62.4237379120957</v>
      </c>
      <c r="AB151" t="str">
        <f t="shared" si="22"/>
        <v>24.6411967204472,62.641658134691</v>
      </c>
      <c r="AC151" t="str">
        <f t="shared" si="23"/>
        <v>25.4062499868427,62.7009258684029</v>
      </c>
    </row>
    <row r="152" spans="2:29" x14ac:dyDescent="0.2">
      <c r="B152" s="3">
        <v>150</v>
      </c>
      <c r="C152" s="6">
        <v>22.1999999999999</v>
      </c>
      <c r="D152" s="6">
        <v>61.6875</v>
      </c>
      <c r="E152" s="8">
        <v>-1.5707963267948966</v>
      </c>
      <c r="F152" s="7"/>
      <c r="G152" s="10">
        <v>23.911634668521899</v>
      </c>
      <c r="H152" s="10">
        <v>62.4192231083371</v>
      </c>
      <c r="I152" s="10">
        <v>-1.6086193043996699</v>
      </c>
      <c r="K152" s="10">
        <v>24.041625842576298</v>
      </c>
      <c r="L152" s="10">
        <v>62.618969758611698</v>
      </c>
      <c r="M152" s="10">
        <v>-1.6567863071139299</v>
      </c>
      <c r="N152" s="13"/>
      <c r="O152" s="10">
        <v>24.806894860791601</v>
      </c>
      <c r="P152" s="10">
        <v>62.673115207203502</v>
      </c>
      <c r="Q152" s="10">
        <v>-1.6679080048769599</v>
      </c>
      <c r="R152" s="13"/>
      <c r="S152" s="8">
        <v>-1.5707963267948966</v>
      </c>
      <c r="T152" s="17"/>
      <c r="U152" s="13">
        <f t="shared" si="16"/>
        <v>0</v>
      </c>
      <c r="V152" s="13">
        <f t="shared" si="17"/>
        <v>-2.1670969853713462</v>
      </c>
      <c r="W152" s="13">
        <f t="shared" si="18"/>
        <v>-4.9268629526936252</v>
      </c>
      <c r="X152" s="13">
        <f t="shared" si="19"/>
        <v>-5.5640892955353305</v>
      </c>
      <c r="Z152" t="str">
        <f t="shared" si="20"/>
        <v>22.1999999999999,61.6875</v>
      </c>
      <c r="AA152" t="str">
        <f t="shared" si="21"/>
        <v>23.9116346685219,62.4192231083371</v>
      </c>
      <c r="AB152" t="str">
        <f t="shared" si="22"/>
        <v>24.0416258425763,62.6189697586117</v>
      </c>
      <c r="AC152" t="str">
        <f t="shared" si="23"/>
        <v>24.8068948607916,62.6731152072035</v>
      </c>
    </row>
    <row r="153" spans="2:29" x14ac:dyDescent="0.2">
      <c r="B153" s="3">
        <v>151</v>
      </c>
      <c r="C153" s="6">
        <v>21.599999999999898</v>
      </c>
      <c r="D153" s="6">
        <v>61.6875</v>
      </c>
      <c r="E153" s="8">
        <v>-1.5707963267948966</v>
      </c>
      <c r="F153" s="7"/>
      <c r="G153" s="10">
        <v>23.312063790650999</v>
      </c>
      <c r="H153" s="10">
        <v>62.396534732257798</v>
      </c>
      <c r="I153" s="10">
        <v>-1.6567863071139299</v>
      </c>
      <c r="K153" s="10">
        <v>23.4438427590446</v>
      </c>
      <c r="L153" s="10">
        <v>62.567439330287598</v>
      </c>
      <c r="M153" s="10">
        <v>-1.56387443654518</v>
      </c>
      <c r="N153" s="13"/>
      <c r="O153" s="10">
        <v>24.209721841454201</v>
      </c>
      <c r="P153" s="10">
        <v>62.614939740076302</v>
      </c>
      <c r="Q153" s="10">
        <v>-1.57400365804677</v>
      </c>
      <c r="R153" s="13"/>
      <c r="S153" s="8">
        <v>-1.5707963267948966</v>
      </c>
      <c r="T153" s="17"/>
      <c r="U153" s="13">
        <f t="shared" si="16"/>
        <v>0</v>
      </c>
      <c r="V153" s="13">
        <f t="shared" si="17"/>
        <v>-4.9268629526936252</v>
      </c>
      <c r="W153" s="13">
        <f t="shared" si="18"/>
        <v>0.39659509756151473</v>
      </c>
      <c r="X153" s="13">
        <f t="shared" si="19"/>
        <v>-0.18376654423275929</v>
      </c>
      <c r="Z153" t="str">
        <f t="shared" si="20"/>
        <v>21.5999999999999,61.6875</v>
      </c>
      <c r="AA153" t="str">
        <f t="shared" si="21"/>
        <v>23.312063790651,62.3965347322578</v>
      </c>
      <c r="AB153" t="str">
        <f t="shared" si="22"/>
        <v>23.4438427590446,62.5674393302876</v>
      </c>
      <c r="AC153" t="str">
        <f t="shared" si="23"/>
        <v>24.2097218414542,62.6149397400763</v>
      </c>
    </row>
    <row r="154" spans="2:29" x14ac:dyDescent="0.2">
      <c r="B154" s="3">
        <v>152</v>
      </c>
      <c r="C154" s="6">
        <v>20.999999999999901</v>
      </c>
      <c r="D154" s="6">
        <v>61.6875</v>
      </c>
      <c r="E154" s="8">
        <v>-1.5707963267948966</v>
      </c>
      <c r="F154" s="7"/>
      <c r="G154" s="10">
        <v>22.714280707119201</v>
      </c>
      <c r="H154" s="10">
        <v>62.345004303933798</v>
      </c>
      <c r="I154" s="10">
        <v>-1.56387443654518</v>
      </c>
      <c r="K154" s="10">
        <v>22.8438571327566</v>
      </c>
      <c r="L154" s="10">
        <v>62.571592431272997</v>
      </c>
      <c r="M154" s="10">
        <v>-1.5335311124578399</v>
      </c>
      <c r="N154" s="13"/>
      <c r="O154" s="10">
        <v>23.609724927543699</v>
      </c>
      <c r="P154" s="10">
        <v>62.6130153446245</v>
      </c>
      <c r="Q154" s="10">
        <v>-1.5410277031705699</v>
      </c>
      <c r="R154" s="13"/>
      <c r="S154" s="8">
        <v>-1.5707963267948966</v>
      </c>
      <c r="T154" s="17"/>
      <c r="U154" s="13">
        <f t="shared" si="16"/>
        <v>0</v>
      </c>
      <c r="V154" s="13">
        <f t="shared" si="17"/>
        <v>0.39659509756151473</v>
      </c>
      <c r="W154" s="13">
        <f t="shared" si="18"/>
        <v>2.1351395041637522</v>
      </c>
      <c r="X154" s="13">
        <f t="shared" si="19"/>
        <v>1.7056164955873527</v>
      </c>
      <c r="Z154" t="str">
        <f t="shared" si="20"/>
        <v>20.9999999999999,61.6875</v>
      </c>
      <c r="AA154" t="str">
        <f t="shared" si="21"/>
        <v>22.7142807071192,62.3450043039338</v>
      </c>
      <c r="AB154" t="str">
        <f t="shared" si="22"/>
        <v>22.8438571327566,62.571592431273</v>
      </c>
      <c r="AC154" t="str">
        <f t="shared" si="23"/>
        <v>23.6097249275437,62.6130153446245</v>
      </c>
    </row>
    <row r="155" spans="2:29" x14ac:dyDescent="0.2">
      <c r="B155" s="3">
        <v>153</v>
      </c>
      <c r="C155" s="6">
        <v>20.399999999999899</v>
      </c>
      <c r="D155" s="6">
        <v>61.6875</v>
      </c>
      <c r="E155" s="8">
        <v>-1.5707963267948966</v>
      </c>
      <c r="F155" s="7"/>
      <c r="G155" s="10">
        <v>22.114295080831202</v>
      </c>
      <c r="H155" s="10">
        <v>62.349157404919097</v>
      </c>
      <c r="I155" s="10">
        <v>-1.5335311124578399</v>
      </c>
      <c r="K155" s="10">
        <v>22.244273693406701</v>
      </c>
      <c r="L155" s="10">
        <v>62.593946385228399</v>
      </c>
      <c r="M155" s="10">
        <v>-1.57616644419617</v>
      </c>
      <c r="N155" s="13"/>
      <c r="O155" s="10">
        <v>23.009990759197599</v>
      </c>
      <c r="P155" s="10">
        <v>62.630873880907103</v>
      </c>
      <c r="Q155" s="10">
        <v>-1.60372390608437</v>
      </c>
      <c r="R155" s="13"/>
      <c r="S155" s="8">
        <v>-1.5707963267948966</v>
      </c>
      <c r="T155" s="17"/>
      <c r="U155" s="13">
        <f t="shared" si="16"/>
        <v>0</v>
      </c>
      <c r="V155" s="13">
        <f t="shared" si="17"/>
        <v>2.1351395041637522</v>
      </c>
      <c r="W155" s="13">
        <f t="shared" si="18"/>
        <v>-0.30768506258273115</v>
      </c>
      <c r="X155" s="13">
        <f t="shared" si="19"/>
        <v>-1.8866113228692056</v>
      </c>
      <c r="Z155" t="str">
        <f t="shared" si="20"/>
        <v>20.3999999999999,61.6875</v>
      </c>
      <c r="AA155" t="str">
        <f t="shared" si="21"/>
        <v>22.1142950808312,62.3491574049191</v>
      </c>
      <c r="AB155" t="str">
        <f t="shared" si="22"/>
        <v>22.2442736934067,62.5939463852284</v>
      </c>
      <c r="AC155" t="str">
        <f t="shared" si="23"/>
        <v>23.0099907591976,62.6308738809071</v>
      </c>
    </row>
    <row r="156" spans="2:29" x14ac:dyDescent="0.2">
      <c r="B156" s="3">
        <v>154</v>
      </c>
      <c r="C156" s="6">
        <v>19.799999999999901</v>
      </c>
      <c r="D156" s="6">
        <v>61.6875</v>
      </c>
      <c r="E156" s="8">
        <v>-1.5707963267948966</v>
      </c>
      <c r="F156" s="7"/>
      <c r="G156" s="10">
        <v>21.514711641481401</v>
      </c>
      <c r="H156" s="10">
        <v>62.3715113588745</v>
      </c>
      <c r="I156" s="10">
        <v>-1.57616644419617</v>
      </c>
      <c r="K156" s="10">
        <v>21.644282344834199</v>
      </c>
      <c r="L156" s="10">
        <v>62.590724330274</v>
      </c>
      <c r="M156" s="10">
        <v>-1.50307437194993</v>
      </c>
      <c r="N156" s="13"/>
      <c r="O156" s="10">
        <v>22.410315997453399</v>
      </c>
      <c r="P156" s="10">
        <v>62.6111209032319</v>
      </c>
      <c r="Q156" s="10">
        <v>-1.52316026283641</v>
      </c>
      <c r="R156" s="13"/>
      <c r="S156" s="8">
        <v>-1.5707963267948966</v>
      </c>
      <c r="T156" s="17"/>
      <c r="U156" s="13">
        <f t="shared" si="16"/>
        <v>0</v>
      </c>
      <c r="V156" s="13">
        <f t="shared" si="17"/>
        <v>-0.30768506258273115</v>
      </c>
      <c r="W156" s="13">
        <f t="shared" si="18"/>
        <v>3.8801821929921214</v>
      </c>
      <c r="X156" s="13">
        <f t="shared" si="19"/>
        <v>2.729345417436531</v>
      </c>
      <c r="Z156" t="str">
        <f t="shared" si="20"/>
        <v>19.7999999999999,61.6875</v>
      </c>
      <c r="AA156" t="str">
        <f t="shared" si="21"/>
        <v>21.5147116414814,62.3715113588745</v>
      </c>
      <c r="AB156" t="str">
        <f t="shared" si="22"/>
        <v>21.6442823448342,62.590724330274</v>
      </c>
      <c r="AC156" t="str">
        <f t="shared" si="23"/>
        <v>22.4103159974534,62.6111209032319</v>
      </c>
    </row>
    <row r="157" spans="2:29" x14ac:dyDescent="0.2">
      <c r="B157" s="3">
        <v>155</v>
      </c>
      <c r="C157" s="6">
        <v>19.1999999999999</v>
      </c>
      <c r="D157" s="6">
        <v>61.6875</v>
      </c>
      <c r="E157" s="8">
        <v>-1.5707963267948966</v>
      </c>
      <c r="F157" s="7"/>
      <c r="G157" s="10">
        <v>20.9147202929089</v>
      </c>
      <c r="H157" s="10">
        <v>62.3682893039202</v>
      </c>
      <c r="I157" s="10">
        <v>-1.50307437194993</v>
      </c>
      <c r="K157" s="10">
        <v>21.045657698019799</v>
      </c>
      <c r="L157" s="10">
        <v>62.6313264512318</v>
      </c>
      <c r="M157" s="10">
        <v>-1.51588266133758</v>
      </c>
      <c r="N157" s="13"/>
      <c r="O157" s="10">
        <v>21.8109966271088</v>
      </c>
      <c r="P157" s="10">
        <v>62.639691733283499</v>
      </c>
      <c r="Q157" s="10">
        <v>-1.5349570053145101</v>
      </c>
      <c r="R157" s="13"/>
      <c r="S157" s="8">
        <v>-1.5707963267948966</v>
      </c>
      <c r="T157" s="17"/>
      <c r="U157" s="13">
        <f t="shared" si="16"/>
        <v>0</v>
      </c>
      <c r="V157" s="13">
        <f t="shared" si="17"/>
        <v>3.8801821929921214</v>
      </c>
      <c r="W157" s="13">
        <f t="shared" si="18"/>
        <v>3.1463212682975756</v>
      </c>
      <c r="X157" s="13">
        <f t="shared" si="19"/>
        <v>2.0534418614386993</v>
      </c>
      <c r="Z157" t="str">
        <f t="shared" si="20"/>
        <v>19.1999999999999,61.6875</v>
      </c>
      <c r="AA157" t="str">
        <f t="shared" si="21"/>
        <v>20.9147202929089,62.3682893039202</v>
      </c>
      <c r="AB157" t="str">
        <f t="shared" si="22"/>
        <v>21.0456576980198,62.6313264512318</v>
      </c>
      <c r="AC157" t="str">
        <f t="shared" si="23"/>
        <v>21.8109966271088,62.6396917332835</v>
      </c>
    </row>
    <row r="158" spans="2:29" x14ac:dyDescent="0.2">
      <c r="B158" s="3">
        <v>156</v>
      </c>
      <c r="C158" s="6">
        <v>18.599999999999898</v>
      </c>
      <c r="D158" s="6">
        <v>61.6875</v>
      </c>
      <c r="E158" s="8">
        <v>-1.5707963267948966</v>
      </c>
      <c r="F158" s="7"/>
      <c r="G158" s="10">
        <v>20.3160956460944</v>
      </c>
      <c r="H158" s="10">
        <v>62.408891424877901</v>
      </c>
      <c r="I158" s="10">
        <v>-1.51588266133758</v>
      </c>
      <c r="K158" s="10">
        <v>20.446562123906201</v>
      </c>
      <c r="L158" s="10">
        <v>62.6642580937284</v>
      </c>
      <c r="M158" s="10">
        <v>-1.52728973787204</v>
      </c>
      <c r="N158" s="13"/>
      <c r="O158" s="10">
        <v>21.2113819229541</v>
      </c>
      <c r="P158" s="10">
        <v>62.661190723060699</v>
      </c>
      <c r="Q158" s="10">
        <v>-1.5525797756661901</v>
      </c>
      <c r="R158" s="13"/>
      <c r="S158" s="8">
        <v>-1.5707963267948966</v>
      </c>
      <c r="T158" s="17"/>
      <c r="U158" s="13">
        <f t="shared" si="16"/>
        <v>0</v>
      </c>
      <c r="V158" s="13">
        <f t="shared" si="17"/>
        <v>3.1463212682975756</v>
      </c>
      <c r="W158" s="13">
        <f t="shared" si="18"/>
        <v>2.4927439262902973</v>
      </c>
      <c r="X158" s="13">
        <f t="shared" si="19"/>
        <v>1.0437314969591562</v>
      </c>
      <c r="Z158" t="str">
        <f t="shared" si="20"/>
        <v>18.5999999999999,61.6875</v>
      </c>
      <c r="AA158" t="str">
        <f t="shared" si="21"/>
        <v>20.3160956460944,62.4088914248779</v>
      </c>
      <c r="AB158" t="str">
        <f t="shared" si="22"/>
        <v>20.4465621239062,62.6642580937284</v>
      </c>
      <c r="AC158" t="str">
        <f t="shared" si="23"/>
        <v>21.2113819229541,62.6611907230607</v>
      </c>
    </row>
    <row r="159" spans="2:29" x14ac:dyDescent="0.2">
      <c r="B159" s="3">
        <v>157</v>
      </c>
      <c r="C159" s="6">
        <v>17.999999999999901</v>
      </c>
      <c r="D159" s="6">
        <v>61.6875</v>
      </c>
      <c r="E159" s="8">
        <v>-1.5707963267948966</v>
      </c>
      <c r="F159" s="7"/>
      <c r="G159" s="10">
        <v>19.717000071980902</v>
      </c>
      <c r="H159" s="10">
        <v>62.4418230673745</v>
      </c>
      <c r="I159" s="10">
        <v>-1.52728973787204</v>
      </c>
      <c r="K159" s="10">
        <v>19.8471298813262</v>
      </c>
      <c r="L159" s="10">
        <v>62.690353812833003</v>
      </c>
      <c r="M159" s="10">
        <v>-1.61201605669159</v>
      </c>
      <c r="N159" s="13"/>
      <c r="O159" s="10">
        <v>20.611481473021701</v>
      </c>
      <c r="P159" s="10">
        <v>62.672120049245002</v>
      </c>
      <c r="Q159" s="10">
        <v>-1.6408390909346999</v>
      </c>
      <c r="R159" s="13"/>
      <c r="S159" s="8">
        <v>-1.5707963267948966</v>
      </c>
      <c r="T159" s="17"/>
      <c r="U159" s="13">
        <f t="shared" si="16"/>
        <v>0</v>
      </c>
      <c r="V159" s="13">
        <f t="shared" si="17"/>
        <v>2.4927439262902973</v>
      </c>
      <c r="W159" s="13">
        <f t="shared" si="18"/>
        <v>-2.3617165557497541</v>
      </c>
      <c r="X159" s="13">
        <f t="shared" si="19"/>
        <v>-4.0131547706410036</v>
      </c>
      <c r="Z159" t="str">
        <f t="shared" si="20"/>
        <v>17.9999999999999,61.6875</v>
      </c>
      <c r="AA159" t="str">
        <f t="shared" si="21"/>
        <v>19.7170000719809,62.4418230673745</v>
      </c>
      <c r="AB159" t="str">
        <f t="shared" si="22"/>
        <v>19.8471298813262,62.690353812833</v>
      </c>
      <c r="AC159" t="str">
        <f t="shared" si="23"/>
        <v>20.6114814730217,62.672120049245</v>
      </c>
    </row>
    <row r="160" spans="2:29" x14ac:dyDescent="0.2">
      <c r="B160" s="3">
        <v>158</v>
      </c>
      <c r="C160" s="6">
        <v>17.399999999999899</v>
      </c>
      <c r="D160" s="6">
        <v>61.6875</v>
      </c>
      <c r="E160" s="8">
        <v>-1.5707963267948966</v>
      </c>
      <c r="F160" s="7"/>
      <c r="G160" s="10">
        <v>19.117567829400901</v>
      </c>
      <c r="H160" s="10">
        <v>62.467918786479103</v>
      </c>
      <c r="I160" s="10">
        <v>-1.61201605669159</v>
      </c>
      <c r="K160" s="10">
        <v>19.2476395289995</v>
      </c>
      <c r="L160" s="10">
        <v>62.665628977804801</v>
      </c>
      <c r="M160" s="10">
        <v>-1.5492408478016999</v>
      </c>
      <c r="N160" s="13"/>
      <c r="O160" s="10">
        <v>20.012952668044399</v>
      </c>
      <c r="P160" s="10">
        <v>62.6301287452346</v>
      </c>
      <c r="Q160" s="10">
        <v>-1.5712017080910501</v>
      </c>
      <c r="R160" s="13"/>
      <c r="S160" s="8">
        <v>-1.5707963267948966</v>
      </c>
      <c r="T160" s="17"/>
      <c r="U160" s="13">
        <f t="shared" si="16"/>
        <v>0</v>
      </c>
      <c r="V160" s="13">
        <f t="shared" si="17"/>
        <v>-2.3617165557497541</v>
      </c>
      <c r="W160" s="13">
        <f t="shared" si="18"/>
        <v>1.2350379716930731</v>
      </c>
      <c r="X160" s="13">
        <f t="shared" si="19"/>
        <v>-2.3226637363140099E-2</v>
      </c>
      <c r="Z160" t="str">
        <f t="shared" si="20"/>
        <v>17.3999999999999,61.6875</v>
      </c>
      <c r="AA160" t="str">
        <f t="shared" si="21"/>
        <v>19.1175678294009,62.4679187864791</v>
      </c>
      <c r="AB160" t="str">
        <f t="shared" si="22"/>
        <v>19.2476395289995,62.6656289778048</v>
      </c>
      <c r="AC160" t="str">
        <f t="shared" si="23"/>
        <v>20.0129526680444,62.6301287452346</v>
      </c>
    </row>
    <row r="161" spans="2:29" x14ac:dyDescent="0.2">
      <c r="B161" s="3">
        <v>159</v>
      </c>
      <c r="C161" s="6">
        <v>16.799999999999901</v>
      </c>
      <c r="D161" s="6">
        <v>61.6875</v>
      </c>
      <c r="E161" s="8">
        <v>-1.5707963267948966</v>
      </c>
      <c r="F161" s="7"/>
      <c r="G161" s="10">
        <v>18.5180774770742</v>
      </c>
      <c r="H161" s="10">
        <v>62.443193951450901</v>
      </c>
      <c r="I161" s="10">
        <v>-1.5492408478016999</v>
      </c>
      <c r="K161" s="10">
        <v>18.6477789152048</v>
      </c>
      <c r="L161" s="10">
        <v>62.678561263672997</v>
      </c>
      <c r="M161" s="10">
        <v>-1.5397011299551699</v>
      </c>
      <c r="N161" s="13"/>
      <c r="O161" s="10">
        <v>19.412952717344599</v>
      </c>
      <c r="P161" s="10">
        <v>62.629885516463602</v>
      </c>
      <c r="Q161" s="10">
        <v>-1.54419283243314</v>
      </c>
      <c r="R161" s="13"/>
      <c r="S161" s="8">
        <v>-1.5707963267948966</v>
      </c>
      <c r="T161" s="17"/>
      <c r="U161" s="13">
        <f t="shared" si="16"/>
        <v>0</v>
      </c>
      <c r="V161" s="13">
        <f t="shared" si="17"/>
        <v>1.2350379716930731</v>
      </c>
      <c r="W161" s="13">
        <f t="shared" si="18"/>
        <v>1.7816235420448703</v>
      </c>
      <c r="X161" s="13">
        <f t="shared" si="19"/>
        <v>1.5242679472287335</v>
      </c>
      <c r="Z161" t="str">
        <f t="shared" si="20"/>
        <v>16.7999999999999,61.6875</v>
      </c>
      <c r="AA161" t="str">
        <f t="shared" si="21"/>
        <v>18.5180774770742,62.4431939514509</v>
      </c>
      <c r="AB161" t="str">
        <f t="shared" si="22"/>
        <v>18.6477789152048,62.678561263673</v>
      </c>
      <c r="AC161" t="str">
        <f t="shared" si="23"/>
        <v>19.4129527173446,62.6298855164636</v>
      </c>
    </row>
    <row r="162" spans="2:29" x14ac:dyDescent="0.2">
      <c r="B162" s="3">
        <v>160</v>
      </c>
      <c r="C162" s="6">
        <v>16.1999999999999</v>
      </c>
      <c r="D162" s="6">
        <v>61.6875</v>
      </c>
      <c r="E162" s="8">
        <v>-1.5707963267948966</v>
      </c>
      <c r="F162" s="7"/>
      <c r="G162" s="10">
        <v>17.918216863279401</v>
      </c>
      <c r="H162" s="10">
        <v>62.456126237319197</v>
      </c>
      <c r="I162" s="10">
        <v>-1.5397011299551699</v>
      </c>
      <c r="K162" s="10">
        <v>18.048068965212501</v>
      </c>
      <c r="L162" s="10">
        <v>62.6972153752926</v>
      </c>
      <c r="M162" s="10">
        <v>-1.5853295072278399</v>
      </c>
      <c r="N162" s="13"/>
      <c r="O162" s="10">
        <v>18.813165028596</v>
      </c>
      <c r="P162" s="10">
        <v>62.645845730295797</v>
      </c>
      <c r="Q162" s="10">
        <v>-1.6141518010119</v>
      </c>
      <c r="R162" s="13"/>
      <c r="S162" s="8">
        <v>-1.5707963267948966</v>
      </c>
      <c r="T162" s="17"/>
      <c r="U162" s="13">
        <f t="shared" si="16"/>
        <v>0</v>
      </c>
      <c r="V162" s="13">
        <f t="shared" si="17"/>
        <v>1.7816235420448703</v>
      </c>
      <c r="W162" s="13">
        <f t="shared" si="18"/>
        <v>-0.83268990170976631</v>
      </c>
      <c r="X162" s="13">
        <f t="shared" si="19"/>
        <v>-2.4840856914225564</v>
      </c>
      <c r="Z162" t="str">
        <f t="shared" si="20"/>
        <v>16.1999999999999,61.6875</v>
      </c>
      <c r="AA162" t="str">
        <f t="shared" si="21"/>
        <v>17.9182168632794,62.4561262373192</v>
      </c>
      <c r="AB162" t="str">
        <f t="shared" si="22"/>
        <v>18.0480689652125,62.6972153752926</v>
      </c>
      <c r="AC162" t="str">
        <f t="shared" si="23"/>
        <v>18.813165028596,62.6458457302958</v>
      </c>
    </row>
    <row r="163" spans="2:29" x14ac:dyDescent="0.2">
      <c r="B163" s="3">
        <v>161</v>
      </c>
      <c r="C163" s="6">
        <v>15.5999999999999</v>
      </c>
      <c r="D163" s="6">
        <v>61.6875</v>
      </c>
      <c r="E163" s="8">
        <v>-1.5707963267948966</v>
      </c>
      <c r="F163" s="7"/>
      <c r="G163" s="10">
        <v>17.318506913287202</v>
      </c>
      <c r="H163" s="10">
        <v>62.474780348938701</v>
      </c>
      <c r="I163" s="10">
        <v>-1.5853295072278399</v>
      </c>
      <c r="K163" s="10">
        <v>17.448132328097302</v>
      </c>
      <c r="L163" s="10">
        <v>62.6884957739897</v>
      </c>
      <c r="M163" s="10">
        <v>-1.5841010090485701</v>
      </c>
      <c r="N163" s="13"/>
      <c r="O163" s="10">
        <v>18.2137288494133</v>
      </c>
      <c r="P163" s="10">
        <v>62.6198405945158</v>
      </c>
      <c r="Q163" s="10">
        <v>-1.6027721978959599</v>
      </c>
      <c r="R163" s="13"/>
      <c r="S163" s="8">
        <v>-1.5707963267948966</v>
      </c>
      <c r="T163" s="17"/>
      <c r="U163" s="13">
        <f t="shared" si="16"/>
        <v>0</v>
      </c>
      <c r="V163" s="13">
        <f t="shared" si="17"/>
        <v>-0.83268990170976631</v>
      </c>
      <c r="W163" s="13">
        <f t="shared" si="18"/>
        <v>-0.76230214089809833</v>
      </c>
      <c r="X163" s="13">
        <f t="shared" si="19"/>
        <v>-1.8320824603452677</v>
      </c>
      <c r="Z163" t="str">
        <f t="shared" si="20"/>
        <v>15.5999999999999,61.6875</v>
      </c>
      <c r="AA163" t="str">
        <f t="shared" si="21"/>
        <v>17.3185069132872,62.4747803489387</v>
      </c>
      <c r="AB163" t="str">
        <f t="shared" si="22"/>
        <v>17.4481323280973,62.6884957739897</v>
      </c>
      <c r="AC163" t="str">
        <f t="shared" si="23"/>
        <v>18.2137288494133,62.6198405945158</v>
      </c>
    </row>
    <row r="164" spans="2:29" x14ac:dyDescent="0.2">
      <c r="B164" s="3">
        <v>162</v>
      </c>
      <c r="C164" s="6">
        <v>14.999999999999901</v>
      </c>
      <c r="D164" s="6">
        <v>61.6875</v>
      </c>
      <c r="E164" s="8">
        <v>-1.5707963267948966</v>
      </c>
      <c r="F164" s="7"/>
      <c r="G164" s="10">
        <v>16.718570276171999</v>
      </c>
      <c r="H164" s="10">
        <v>62.4660607476359</v>
      </c>
      <c r="I164" s="10">
        <v>-1.5841010090485701</v>
      </c>
      <c r="K164" s="10">
        <v>16.8481854316849</v>
      </c>
      <c r="L164" s="10">
        <v>62.680513200147701</v>
      </c>
      <c r="M164" s="10">
        <v>-1.52227477594414</v>
      </c>
      <c r="N164" s="13"/>
      <c r="O164" s="10">
        <v>17.6140355601786</v>
      </c>
      <c r="P164" s="10">
        <v>62.6006583410812</v>
      </c>
      <c r="Q164" s="10">
        <v>-1.5202430484803799</v>
      </c>
      <c r="R164" s="13"/>
      <c r="S164" s="8">
        <v>-1.5707963267948966</v>
      </c>
      <c r="T164" s="17"/>
      <c r="U164" s="13">
        <f t="shared" si="16"/>
        <v>0</v>
      </c>
      <c r="V164" s="13">
        <f t="shared" si="17"/>
        <v>-0.76230214089809833</v>
      </c>
      <c r="W164" s="13">
        <f t="shared" si="18"/>
        <v>2.780080079177762</v>
      </c>
      <c r="X164" s="13">
        <f t="shared" si="19"/>
        <v>2.8964894879720298</v>
      </c>
      <c r="Z164" t="str">
        <f t="shared" si="20"/>
        <v>14.9999999999999,61.6875</v>
      </c>
      <c r="AA164" t="str">
        <f t="shared" si="21"/>
        <v>16.718570276172,62.4660607476359</v>
      </c>
      <c r="AB164" t="str">
        <f t="shared" si="22"/>
        <v>16.8481854316849,62.6805132001477</v>
      </c>
      <c r="AC164" t="str">
        <f t="shared" si="23"/>
        <v>17.6140355601786,62.6006583410812</v>
      </c>
    </row>
    <row r="165" spans="2:29" x14ac:dyDescent="0.2">
      <c r="B165" s="3">
        <v>163</v>
      </c>
      <c r="C165" s="6">
        <v>14.399999999999901</v>
      </c>
      <c r="D165" s="6">
        <v>61.6875</v>
      </c>
      <c r="E165" s="8">
        <v>-1.5707963267948966</v>
      </c>
      <c r="F165" s="7"/>
      <c r="G165" s="10">
        <v>16.118623379759601</v>
      </c>
      <c r="H165" s="10">
        <v>62.458078173793901</v>
      </c>
      <c r="I165" s="10">
        <v>-1.52227477594414</v>
      </c>
      <c r="K165" s="10">
        <v>16.2488915953919</v>
      </c>
      <c r="L165" s="10">
        <v>62.709614708375703</v>
      </c>
      <c r="M165" s="10">
        <v>-1.5393275398327499</v>
      </c>
      <c r="N165" s="13"/>
      <c r="O165" s="10">
        <v>17.014802087095401</v>
      </c>
      <c r="P165" s="10">
        <v>62.630977390153298</v>
      </c>
      <c r="Q165" s="10">
        <v>-1.5679404496187499</v>
      </c>
      <c r="R165" s="13"/>
      <c r="S165" s="8">
        <v>-1.5707963267948966</v>
      </c>
      <c r="T165" s="17"/>
      <c r="U165" s="13">
        <f t="shared" si="16"/>
        <v>0</v>
      </c>
      <c r="V165" s="13">
        <f t="shared" si="17"/>
        <v>2.780080079177762</v>
      </c>
      <c r="W165" s="13">
        <f t="shared" si="18"/>
        <v>1.8030286793273118</v>
      </c>
      <c r="X165" s="13">
        <f t="shared" si="19"/>
        <v>0.16362970900094317</v>
      </c>
      <c r="Z165" t="str">
        <f t="shared" si="20"/>
        <v>14.3999999999999,61.6875</v>
      </c>
      <c r="AA165" t="str">
        <f t="shared" si="21"/>
        <v>16.1186233797596,62.4580781737939</v>
      </c>
      <c r="AB165" t="str">
        <f t="shared" si="22"/>
        <v>16.2488915953919,62.7096147083757</v>
      </c>
      <c r="AC165" t="str">
        <f t="shared" si="23"/>
        <v>17.0148020870954,62.6309773901533</v>
      </c>
    </row>
    <row r="166" spans="2:29" x14ac:dyDescent="0.2">
      <c r="B166" s="3">
        <v>164</v>
      </c>
      <c r="C166" s="6">
        <v>13.799999999999899</v>
      </c>
      <c r="D166" s="6">
        <v>61.6875</v>
      </c>
      <c r="E166" s="8">
        <v>-1.5707963267948966</v>
      </c>
      <c r="F166" s="7"/>
      <c r="G166" s="10">
        <v>15.519329543466499</v>
      </c>
      <c r="H166" s="10">
        <v>62.487179682021797</v>
      </c>
      <c r="I166" s="10">
        <v>-1.5393275398327499</v>
      </c>
      <c r="K166" s="10">
        <v>15.6491886562419</v>
      </c>
      <c r="L166" s="10">
        <v>62.7284928644019</v>
      </c>
      <c r="M166" s="10">
        <v>-1.6149071579210601</v>
      </c>
      <c r="N166" s="13"/>
      <c r="O166" s="10">
        <v>16.4148045339041</v>
      </c>
      <c r="P166" s="10">
        <v>62.632690914129697</v>
      </c>
      <c r="Q166" s="10">
        <v>-1.6366712653714901</v>
      </c>
      <c r="R166" s="13"/>
      <c r="S166" s="8">
        <v>-1.5707963267948966</v>
      </c>
      <c r="T166" s="17"/>
      <c r="U166" s="13">
        <f t="shared" si="16"/>
        <v>0</v>
      </c>
      <c r="V166" s="13">
        <f t="shared" si="17"/>
        <v>1.8030286793273118</v>
      </c>
      <c r="W166" s="13">
        <f t="shared" si="18"/>
        <v>-2.5273644543434752</v>
      </c>
      <c r="X166" s="13">
        <f t="shared" si="19"/>
        <v>-3.7743559561223448</v>
      </c>
      <c r="Z166" t="str">
        <f t="shared" si="20"/>
        <v>13.7999999999999,61.6875</v>
      </c>
      <c r="AA166" t="str">
        <f t="shared" si="21"/>
        <v>15.5193295434665,62.4871796820218</v>
      </c>
      <c r="AB166" t="str">
        <f t="shared" si="22"/>
        <v>15.6491886562419,62.7284928644019</v>
      </c>
      <c r="AC166" t="str">
        <f t="shared" si="23"/>
        <v>16.4148045339041,62.6326909141297</v>
      </c>
    </row>
    <row r="167" spans="2:29" x14ac:dyDescent="0.2">
      <c r="B167" s="3">
        <v>165</v>
      </c>
      <c r="C167" s="6">
        <v>13.1999999999999</v>
      </c>
      <c r="D167" s="6">
        <v>61.6875</v>
      </c>
      <c r="E167" s="8">
        <v>-1.5707963267948966</v>
      </c>
      <c r="F167" s="7"/>
      <c r="G167" s="10">
        <v>14.919626604316599</v>
      </c>
      <c r="H167" s="10">
        <v>62.5060578380481</v>
      </c>
      <c r="I167" s="10">
        <v>-1.47612198302982</v>
      </c>
      <c r="K167" s="10">
        <v>15.0497722912248</v>
      </c>
      <c r="L167" s="10">
        <v>62.702034947824203</v>
      </c>
      <c r="M167" s="10">
        <v>-1.47612198302982</v>
      </c>
      <c r="N167" s="13"/>
      <c r="O167" s="10">
        <v>15.8161059154488</v>
      </c>
      <c r="P167" s="10">
        <v>62.593194531261098</v>
      </c>
      <c r="Q167" s="10">
        <v>-1.4909828830117899</v>
      </c>
      <c r="R167" s="13"/>
      <c r="S167" s="8">
        <v>-1.5707963267948966</v>
      </c>
      <c r="T167" s="17"/>
      <c r="U167" s="13">
        <f t="shared" si="16"/>
        <v>0</v>
      </c>
      <c r="V167" s="13">
        <f t="shared" si="17"/>
        <v>5.4244403259095861</v>
      </c>
      <c r="W167" s="13">
        <f t="shared" si="18"/>
        <v>5.4244403259095861</v>
      </c>
      <c r="X167" s="13">
        <f t="shared" si="19"/>
        <v>4.5729734771766681</v>
      </c>
      <c r="Z167" t="str">
        <f t="shared" si="20"/>
        <v>13.1999999999999,61.6875</v>
      </c>
      <c r="AA167" t="str">
        <f t="shared" si="21"/>
        <v>14.9196266043166,62.5060578380481</v>
      </c>
      <c r="AB167" t="str">
        <f t="shared" si="22"/>
        <v>15.0497722912248,62.7020349478242</v>
      </c>
      <c r="AC167" t="str">
        <f t="shared" si="23"/>
        <v>15.8161059154488,62.5931945312611</v>
      </c>
    </row>
    <row r="168" spans="2:29" x14ac:dyDescent="0.2">
      <c r="B168" s="3">
        <v>166</v>
      </c>
      <c r="C168" s="6">
        <v>12.5999999999999</v>
      </c>
      <c r="D168" s="6">
        <v>61.6875</v>
      </c>
      <c r="E168" s="8">
        <v>-1.5707963267948966</v>
      </c>
      <c r="F168" s="7"/>
      <c r="G168" s="10">
        <v>14.3223135658389</v>
      </c>
      <c r="H168" s="10">
        <v>62.562777623524703</v>
      </c>
      <c r="I168" s="10">
        <v>-1.47612198302982</v>
      </c>
      <c r="K168" s="10">
        <v>14.452459252747101</v>
      </c>
      <c r="L168" s="10">
        <v>62.758754733300897</v>
      </c>
      <c r="M168" s="10">
        <v>-1.5741973349518501</v>
      </c>
      <c r="N168" s="13"/>
      <c r="O168" s="10">
        <v>15.218015956925001</v>
      </c>
      <c r="P168" s="10">
        <v>62.641031771075603</v>
      </c>
      <c r="Q168" s="10">
        <v>-1.6008542633443801</v>
      </c>
      <c r="R168" s="13"/>
      <c r="S168" s="8">
        <v>-1.5707963267948966</v>
      </c>
      <c r="T168" s="17"/>
      <c r="U168" s="13">
        <f t="shared" si="16"/>
        <v>0</v>
      </c>
      <c r="V168" s="13">
        <f t="shared" si="17"/>
        <v>5.4244403259095861</v>
      </c>
      <c r="W168" s="13">
        <f t="shared" si="18"/>
        <v>-0.19486341348300476</v>
      </c>
      <c r="X168" s="13">
        <f t="shared" si="19"/>
        <v>-1.7221929051574263</v>
      </c>
      <c r="Z168" t="str">
        <f t="shared" si="20"/>
        <v>12.5999999999999,61.6875</v>
      </c>
      <c r="AA168" t="str">
        <f t="shared" si="21"/>
        <v>14.3223135658389,62.5627776235247</v>
      </c>
      <c r="AB168" t="str">
        <f t="shared" si="22"/>
        <v>14.4524592527471,62.7587547333009</v>
      </c>
      <c r="AC168" t="str">
        <f t="shared" si="23"/>
        <v>15.218015956925,62.6410317710756</v>
      </c>
    </row>
    <row r="169" spans="2:29" x14ac:dyDescent="0.2">
      <c r="B169" s="3">
        <v>167</v>
      </c>
      <c r="C169" s="6">
        <v>11.999999999999901</v>
      </c>
      <c r="D169" s="6">
        <v>61.6875</v>
      </c>
      <c r="E169" s="8">
        <v>-1.5707963267948966</v>
      </c>
      <c r="F169" s="7"/>
      <c r="G169" s="10">
        <v>13.7250005273612</v>
      </c>
      <c r="H169" s="10">
        <v>62.619497409001298</v>
      </c>
      <c r="I169" s="10">
        <v>-1.5741973349518501</v>
      </c>
      <c r="K169" s="10">
        <v>13.8524627228007</v>
      </c>
      <c r="L169" s="10">
        <v>62.756714132340598</v>
      </c>
      <c r="M169" s="10">
        <v>-1.5634747143140999</v>
      </c>
      <c r="N169" s="13"/>
      <c r="O169" s="10">
        <v>14.618286980383701</v>
      </c>
      <c r="P169" s="10">
        <v>62.622999724696399</v>
      </c>
      <c r="Q169" s="10">
        <v>-1.60526168020152</v>
      </c>
      <c r="R169" s="13"/>
      <c r="S169" s="8">
        <v>-1.5707963267948966</v>
      </c>
      <c r="T169" s="17"/>
      <c r="U169" s="13">
        <f t="shared" si="16"/>
        <v>0</v>
      </c>
      <c r="V169" s="13">
        <f t="shared" si="17"/>
        <v>-0.19486341348300476</v>
      </c>
      <c r="W169" s="13">
        <f t="shared" si="18"/>
        <v>0.41949749437995698</v>
      </c>
      <c r="X169" s="13">
        <f t="shared" si="19"/>
        <v>-1.9747192896263601</v>
      </c>
      <c r="Z169" t="str">
        <f t="shared" si="20"/>
        <v>11.9999999999999,61.6875</v>
      </c>
      <c r="AA169" t="str">
        <f t="shared" si="21"/>
        <v>13.7250005273612,62.6194974090013</v>
      </c>
      <c r="AB169" t="str">
        <f t="shared" si="22"/>
        <v>13.8524627228007,62.7567141323406</v>
      </c>
      <c r="AC169" t="str">
        <f t="shared" si="23"/>
        <v>14.6182869803837,62.6229997246964</v>
      </c>
    </row>
    <row r="170" spans="2:29" x14ac:dyDescent="0.2">
      <c r="B170" s="3">
        <v>168</v>
      </c>
      <c r="C170" s="6">
        <v>11.399999999999901</v>
      </c>
      <c r="D170" s="6">
        <v>61.6875</v>
      </c>
      <c r="E170" s="8">
        <v>-1.5707963267948966</v>
      </c>
      <c r="F170" s="7"/>
      <c r="G170" s="10">
        <v>13.125003997414799</v>
      </c>
      <c r="H170" s="10">
        <v>62.617456808040998</v>
      </c>
      <c r="I170" s="10">
        <v>-1.5634747143140999</v>
      </c>
      <c r="K170" s="10">
        <v>13.2524788045316</v>
      </c>
      <c r="L170" s="10">
        <v>62.761107060580898</v>
      </c>
      <c r="M170" s="10">
        <v>-1.50611552700109</v>
      </c>
      <c r="N170" s="13"/>
      <c r="O170" s="10">
        <v>14.018643303285399</v>
      </c>
      <c r="P170" s="10">
        <v>62.602324606412701</v>
      </c>
      <c r="Q170" s="10">
        <v>-1.5689186819248899</v>
      </c>
      <c r="R170" s="13"/>
      <c r="S170" s="8">
        <v>-1.5707963267948966</v>
      </c>
      <c r="T170" s="17"/>
      <c r="U170" s="13">
        <f t="shared" si="16"/>
        <v>0</v>
      </c>
      <c r="V170" s="13">
        <f t="shared" si="17"/>
        <v>0.41949749437995698</v>
      </c>
      <c r="W170" s="13">
        <f t="shared" si="18"/>
        <v>3.7059368437157625</v>
      </c>
      <c r="X170" s="13">
        <f t="shared" si="19"/>
        <v>0.10758112647577021</v>
      </c>
      <c r="Z170" t="str">
        <f t="shared" si="20"/>
        <v>11.3999999999999,61.6875</v>
      </c>
      <c r="AA170" t="str">
        <f t="shared" si="21"/>
        <v>13.1250039974148,62.617456808041</v>
      </c>
      <c r="AB170" t="str">
        <f t="shared" si="22"/>
        <v>13.2524788045316,62.7611070605809</v>
      </c>
      <c r="AC170" t="str">
        <f t="shared" si="23"/>
        <v>14.0186433032854,62.6023246064127</v>
      </c>
    </row>
    <row r="171" spans="2:29" x14ac:dyDescent="0.2">
      <c r="B171" s="3">
        <v>169</v>
      </c>
      <c r="C171" s="6">
        <v>10.799999999999899</v>
      </c>
      <c r="D171" s="6">
        <v>61.6875</v>
      </c>
      <c r="E171" s="8">
        <v>-1.5707963267948966</v>
      </c>
      <c r="F171" s="7"/>
      <c r="G171" s="10">
        <v>12.525020079145699</v>
      </c>
      <c r="H171" s="10">
        <v>62.621849736281398</v>
      </c>
      <c r="I171" s="10">
        <v>-1.50611552700109</v>
      </c>
      <c r="K171" s="10">
        <v>12.6537334487873</v>
      </c>
      <c r="L171" s="10">
        <v>62.7998884862197</v>
      </c>
      <c r="M171" s="10">
        <v>-1.4647303154842699</v>
      </c>
      <c r="N171" s="13"/>
      <c r="O171" s="10">
        <v>13.4186443609501</v>
      </c>
      <c r="P171" s="10">
        <v>62.6034511926728</v>
      </c>
      <c r="Q171" s="10">
        <v>-1.49731953385401</v>
      </c>
      <c r="R171" s="13"/>
      <c r="S171" s="8">
        <v>-1.5707963267948966</v>
      </c>
      <c r="T171" s="17"/>
      <c r="U171" s="13">
        <f t="shared" si="16"/>
        <v>0</v>
      </c>
      <c r="V171" s="13">
        <f t="shared" si="17"/>
        <v>3.7059368437157625</v>
      </c>
      <c r="W171" s="13">
        <f t="shared" si="18"/>
        <v>6.0771347978857602</v>
      </c>
      <c r="X171" s="13">
        <f t="shared" si="19"/>
        <v>4.2099101276694428</v>
      </c>
      <c r="Z171" t="str">
        <f t="shared" si="20"/>
        <v>10.7999999999999,61.6875</v>
      </c>
      <c r="AA171" t="str">
        <f t="shared" si="21"/>
        <v>12.5250200791457,62.6218497362814</v>
      </c>
      <c r="AB171" t="str">
        <f t="shared" si="22"/>
        <v>12.6537334487873,62.7998884862197</v>
      </c>
      <c r="AC171" t="str">
        <f t="shared" si="23"/>
        <v>13.4186443609501,62.6034511926728</v>
      </c>
    </row>
    <row r="172" spans="2:29" x14ac:dyDescent="0.2">
      <c r="B172" s="3">
        <v>170</v>
      </c>
      <c r="C172" s="6">
        <v>10.1999999999999</v>
      </c>
      <c r="D172" s="6">
        <v>61.6875</v>
      </c>
      <c r="E172" s="8">
        <v>-1.5707963267948966</v>
      </c>
      <c r="F172" s="7"/>
      <c r="G172" s="10">
        <v>11.9262747234014</v>
      </c>
      <c r="H172" s="10">
        <v>62.660631161920101</v>
      </c>
      <c r="I172" s="10">
        <v>-1.6136333143744801</v>
      </c>
      <c r="K172" s="10">
        <v>12.0571052855384</v>
      </c>
      <c r="L172" s="10">
        <v>62.8634088358585</v>
      </c>
      <c r="M172" s="10">
        <v>-1.6136333143744801</v>
      </c>
      <c r="N172" s="13"/>
      <c r="O172" s="10">
        <v>12.8202632841249</v>
      </c>
      <c r="P172" s="10">
        <v>62.647497610206003</v>
      </c>
      <c r="Q172" s="10">
        <v>-1.64616080666463</v>
      </c>
      <c r="R172" s="13"/>
      <c r="S172" s="8">
        <v>-1.5707963267948966</v>
      </c>
      <c r="T172" s="17"/>
      <c r="U172" s="13">
        <f t="shared" si="16"/>
        <v>0</v>
      </c>
      <c r="V172" s="13">
        <f t="shared" si="17"/>
        <v>-2.4543785953644646</v>
      </c>
      <c r="W172" s="13">
        <f t="shared" si="18"/>
        <v>-2.4543785953644646</v>
      </c>
      <c r="X172" s="13">
        <f t="shared" si="19"/>
        <v>-4.3180666217343813</v>
      </c>
      <c r="Z172" t="str">
        <f t="shared" si="20"/>
        <v>10.1999999999999,61.6875</v>
      </c>
      <c r="AA172" t="str">
        <f t="shared" si="21"/>
        <v>11.9262747234014,62.6606311619201</v>
      </c>
      <c r="AB172" t="str">
        <f t="shared" si="22"/>
        <v>12.0571052855384,62.8634088358585</v>
      </c>
      <c r="AC172" t="str">
        <f t="shared" si="23"/>
        <v>12.8202632841249,62.647497610206</v>
      </c>
    </row>
    <row r="173" spans="2:29" x14ac:dyDescent="0.2">
      <c r="B173" s="3">
        <v>171</v>
      </c>
      <c r="C173" s="6">
        <v>9.5999999999999108</v>
      </c>
      <c r="D173" s="6">
        <v>61.6875</v>
      </c>
      <c r="E173" s="8">
        <v>-1.5707963267948966</v>
      </c>
      <c r="F173" s="7"/>
      <c r="G173" s="10">
        <v>11.3268251414767</v>
      </c>
      <c r="H173" s="10">
        <v>62.6349368292706</v>
      </c>
      <c r="I173" s="10">
        <v>-1.6136333143744801</v>
      </c>
      <c r="K173" s="10">
        <v>11.4576557036137</v>
      </c>
      <c r="L173" s="10">
        <v>62.8377145032089</v>
      </c>
      <c r="M173" s="10">
        <v>-1.58641190831266</v>
      </c>
      <c r="N173" s="13"/>
      <c r="O173" s="10">
        <v>12.2219664192208</v>
      </c>
      <c r="P173" s="10">
        <v>62.602321715683097</v>
      </c>
      <c r="Q173" s="10">
        <v>-1.6107981661480799</v>
      </c>
      <c r="R173" s="13"/>
      <c r="S173" s="8">
        <v>-1.5707963267948966</v>
      </c>
      <c r="T173" s="17"/>
      <c r="U173" s="13">
        <f t="shared" si="16"/>
        <v>0</v>
      </c>
      <c r="V173" s="13">
        <f t="shared" si="17"/>
        <v>-2.4543785953644646</v>
      </c>
      <c r="W173" s="13">
        <f t="shared" si="18"/>
        <v>-0.89470691561033711</v>
      </c>
      <c r="X173" s="13">
        <f t="shared" si="19"/>
        <v>-2.291936567697733</v>
      </c>
      <c r="Z173" t="str">
        <f t="shared" si="20"/>
        <v>9.59999999999991,61.6875</v>
      </c>
      <c r="AA173" t="str">
        <f t="shared" si="21"/>
        <v>11.3268251414767,62.6349368292706</v>
      </c>
      <c r="AB173" t="str">
        <f t="shared" si="22"/>
        <v>11.4576557036137,62.8377145032089</v>
      </c>
      <c r="AC173" t="str">
        <f t="shared" si="23"/>
        <v>12.2219664192208,62.6023217156831</v>
      </c>
    </row>
    <row r="174" spans="2:29" x14ac:dyDescent="0.2">
      <c r="B174" s="3">
        <v>172</v>
      </c>
      <c r="C174" s="6">
        <v>8.9999999999999201</v>
      </c>
      <c r="D174" s="6">
        <v>61.6875</v>
      </c>
      <c r="E174" s="8">
        <v>-1.5707963267948966</v>
      </c>
      <c r="F174" s="7"/>
      <c r="G174" s="10">
        <v>10.727375559552</v>
      </c>
      <c r="H174" s="10">
        <v>62.609242496621</v>
      </c>
      <c r="I174" s="10">
        <v>-1.37881776176773</v>
      </c>
      <c r="K174" s="10">
        <v>10.857728856043</v>
      </c>
      <c r="L174" s="10">
        <v>62.8283455350739</v>
      </c>
      <c r="M174" s="10">
        <v>-1.37881776176773</v>
      </c>
      <c r="N174" s="13"/>
      <c r="O174" s="10">
        <v>11.622446399357999</v>
      </c>
      <c r="P174" s="10">
        <v>62.578327012442003</v>
      </c>
      <c r="Q174" s="10">
        <v>-1.4236316963618301</v>
      </c>
      <c r="R174" s="13"/>
      <c r="S174" s="8">
        <v>-1.5707963267948966</v>
      </c>
      <c r="T174" s="17"/>
      <c r="U174" s="13">
        <f t="shared" si="16"/>
        <v>0</v>
      </c>
      <c r="V174" s="13">
        <f t="shared" si="17"/>
        <v>10.999561533034475</v>
      </c>
      <c r="W174" s="13">
        <f t="shared" si="18"/>
        <v>10.999561533034475</v>
      </c>
      <c r="X174" s="13">
        <f t="shared" si="19"/>
        <v>8.4319122174172225</v>
      </c>
      <c r="Z174" t="str">
        <f t="shared" si="20"/>
        <v>8.99999999999992,61.6875</v>
      </c>
      <c r="AA174" t="str">
        <f t="shared" si="21"/>
        <v>10.727375559552,62.609242496621</v>
      </c>
      <c r="AB174" t="str">
        <f t="shared" si="22"/>
        <v>10.857728856043,62.8283455350739</v>
      </c>
      <c r="AC174" t="str">
        <f t="shared" si="23"/>
        <v>11.622446399358,62.578327012442</v>
      </c>
    </row>
    <row r="175" spans="2:29" x14ac:dyDescent="0.2">
      <c r="B175" s="3">
        <v>173</v>
      </c>
      <c r="C175" s="6">
        <v>8.3999999999999204</v>
      </c>
      <c r="D175" s="6">
        <v>61.6875</v>
      </c>
      <c r="E175" s="8">
        <v>-1.5707963267948966</v>
      </c>
      <c r="F175" s="7"/>
      <c r="G175" s="10">
        <v>10.138398373379101</v>
      </c>
      <c r="H175" s="10">
        <v>62.723723386589199</v>
      </c>
      <c r="I175" s="10">
        <v>-1.7456271475640099</v>
      </c>
      <c r="K175" s="10">
        <v>10.268751669870101</v>
      </c>
      <c r="L175" s="10">
        <v>62.942826425042099</v>
      </c>
      <c r="M175" s="10">
        <v>-1.7456271475640099</v>
      </c>
      <c r="N175" s="13"/>
      <c r="O175" s="10">
        <v>11.0289319102499</v>
      </c>
      <c r="P175" s="10">
        <v>62.666307414912097</v>
      </c>
      <c r="Q175" s="10">
        <v>-1.7487136747405501</v>
      </c>
      <c r="R175" s="13"/>
      <c r="S175" s="8">
        <v>-1.5707963267948966</v>
      </c>
      <c r="T175" s="17"/>
      <c r="U175" s="13">
        <f t="shared" si="16"/>
        <v>0</v>
      </c>
      <c r="V175" s="13">
        <f t="shared" si="17"/>
        <v>-10.017068158878335</v>
      </c>
      <c r="W175" s="13">
        <f t="shared" si="18"/>
        <v>-10.017068158878335</v>
      </c>
      <c r="X175" s="13">
        <f t="shared" si="19"/>
        <v>-10.193913139446513</v>
      </c>
      <c r="Z175" t="str">
        <f t="shared" si="20"/>
        <v>8.39999999999992,61.6875</v>
      </c>
      <c r="AA175" t="str">
        <f t="shared" si="21"/>
        <v>10.1383983733791,62.7237233865892</v>
      </c>
      <c r="AB175" t="str">
        <f t="shared" si="22"/>
        <v>10.2687516698701,62.9428264250421</v>
      </c>
      <c r="AC175" t="str">
        <f t="shared" si="23"/>
        <v>11.0289319102499,62.6663074149121</v>
      </c>
    </row>
    <row r="176" spans="2:29" x14ac:dyDescent="0.2">
      <c r="B176" s="3">
        <v>174</v>
      </c>
      <c r="C176" s="6">
        <v>7.7999999999999199</v>
      </c>
      <c r="D176" s="6">
        <v>61.6875</v>
      </c>
      <c r="E176" s="8">
        <v>-1.5707963267948966</v>
      </c>
      <c r="F176" s="7"/>
      <c r="G176" s="10">
        <v>9.5475447852031206</v>
      </c>
      <c r="H176" s="10">
        <v>62.619358462694599</v>
      </c>
      <c r="I176" s="10">
        <v>-1.62491447421069</v>
      </c>
      <c r="K176" s="10">
        <v>9.67789808169411</v>
      </c>
      <c r="L176" s="10">
        <v>62.838461501147499</v>
      </c>
      <c r="M176" s="10">
        <v>-1.62491447421069</v>
      </c>
      <c r="N176" s="13"/>
      <c r="O176" s="10">
        <v>10.438403261161699</v>
      </c>
      <c r="P176" s="10">
        <v>62.560119305379501</v>
      </c>
      <c r="Q176" s="10">
        <v>-1.63372035292964</v>
      </c>
      <c r="R176" s="13"/>
      <c r="S176" s="8">
        <v>-1.5707963267948966</v>
      </c>
      <c r="T176" s="17"/>
      <c r="U176" s="13">
        <f t="shared" si="16"/>
        <v>0</v>
      </c>
      <c r="V176" s="13">
        <f t="shared" si="17"/>
        <v>-3.1007414419917878</v>
      </c>
      <c r="W176" s="13">
        <f t="shared" si="18"/>
        <v>-3.1007414419917878</v>
      </c>
      <c r="X176" s="13">
        <f t="shared" si="19"/>
        <v>-3.6052811274916912</v>
      </c>
      <c r="Z176" t="str">
        <f t="shared" si="20"/>
        <v>7.79999999999992,61.6875</v>
      </c>
      <c r="AA176" t="str">
        <f t="shared" si="21"/>
        <v>9.54754478520312,62.6193584626946</v>
      </c>
      <c r="AB176" t="str">
        <f t="shared" si="22"/>
        <v>9.67789808169411,62.8384615011475</v>
      </c>
      <c r="AC176" t="str">
        <f t="shared" si="23"/>
        <v>10.4384032611617,62.5601193053795</v>
      </c>
    </row>
    <row r="177" spans="2:29" x14ac:dyDescent="0.2">
      <c r="B177" s="3">
        <v>175</v>
      </c>
      <c r="C177" s="6">
        <v>7.1999999999999202</v>
      </c>
      <c r="D177" s="6">
        <v>61.6875</v>
      </c>
      <c r="E177" s="8">
        <v>-1.5707963267948966</v>
      </c>
      <c r="F177" s="7"/>
      <c r="G177" s="10">
        <v>8.9484232029450599</v>
      </c>
      <c r="H177" s="10">
        <v>62.586903421905902</v>
      </c>
      <c r="I177" s="10">
        <v>-1.62491447421069</v>
      </c>
      <c r="K177" s="10">
        <v>9.0787764994360494</v>
      </c>
      <c r="L177" s="10">
        <v>62.806006460358802</v>
      </c>
      <c r="M177" s="10">
        <v>-1.6631173601482501</v>
      </c>
      <c r="N177" s="13"/>
      <c r="O177" s="10">
        <v>9.8395906992052105</v>
      </c>
      <c r="P177" s="10">
        <v>62.522389799113803</v>
      </c>
      <c r="Q177" s="10">
        <v>-1.6922434532014301</v>
      </c>
      <c r="R177" s="13"/>
      <c r="S177" s="8">
        <v>-1.5707963267948966</v>
      </c>
      <c r="T177" s="17"/>
      <c r="U177" s="13">
        <f t="shared" si="16"/>
        <v>0</v>
      </c>
      <c r="V177" s="13">
        <f t="shared" si="17"/>
        <v>-3.1007414419917878</v>
      </c>
      <c r="W177" s="13">
        <f t="shared" si="18"/>
        <v>-5.2896055714336621</v>
      </c>
      <c r="X177" s="13">
        <f t="shared" si="19"/>
        <v>-6.9584077770861832</v>
      </c>
      <c r="Z177" t="str">
        <f t="shared" si="20"/>
        <v>7.19999999999992,61.6875</v>
      </c>
      <c r="AA177" t="str">
        <f t="shared" si="21"/>
        <v>8.94842320294506,62.5869034219059</v>
      </c>
      <c r="AB177" t="str">
        <f t="shared" si="22"/>
        <v>9.07877649943605,62.8060064603588</v>
      </c>
      <c r="AC177" t="str">
        <f t="shared" si="23"/>
        <v>9.83959069920521,62.5223897991138</v>
      </c>
    </row>
    <row r="178" spans="2:29" x14ac:dyDescent="0.2">
      <c r="B178" s="3">
        <v>176</v>
      </c>
      <c r="C178" s="6">
        <v>6.5999999999999197</v>
      </c>
      <c r="D178" s="6">
        <v>61.6875</v>
      </c>
      <c r="E178" s="8">
        <v>-1.5707963267948966</v>
      </c>
      <c r="F178" s="7"/>
      <c r="G178" s="10">
        <v>8.3493016206869992</v>
      </c>
      <c r="H178" s="10">
        <v>62.554448381117197</v>
      </c>
      <c r="I178" s="10">
        <v>-1.50344760693885</v>
      </c>
      <c r="K178" s="10">
        <v>8.4813316357997302</v>
      </c>
      <c r="L178" s="10">
        <v>62.750692493636201</v>
      </c>
      <c r="M178" s="10">
        <v>-1.50344760693885</v>
      </c>
      <c r="N178" s="13"/>
      <c r="O178" s="10">
        <v>9.2440100846087798</v>
      </c>
      <c r="P178" s="10">
        <v>62.449700518494602</v>
      </c>
      <c r="Q178" s="10">
        <v>-1.53867895304115</v>
      </c>
      <c r="R178" s="13"/>
      <c r="S178" s="8">
        <v>-1.5707963267948966</v>
      </c>
      <c r="T178" s="17"/>
      <c r="U178" s="13">
        <f t="shared" si="16"/>
        <v>0</v>
      </c>
      <c r="V178" s="13">
        <f t="shared" si="17"/>
        <v>3.8587974033603909</v>
      </c>
      <c r="W178" s="13">
        <f t="shared" si="18"/>
        <v>3.8587974033603909</v>
      </c>
      <c r="X178" s="13">
        <f t="shared" si="19"/>
        <v>1.8401899651339206</v>
      </c>
      <c r="Z178" t="str">
        <f t="shared" si="20"/>
        <v>6.59999999999992,61.6875</v>
      </c>
      <c r="AA178" t="str">
        <f t="shared" si="21"/>
        <v>8.349301620687,62.5544483811172</v>
      </c>
      <c r="AB178" t="str">
        <f t="shared" si="22"/>
        <v>8.48133163579973,62.7506924936362</v>
      </c>
      <c r="AC178" t="str">
        <f t="shared" si="23"/>
        <v>9.24401008460878,62.4497005184946</v>
      </c>
    </row>
    <row r="179" spans="2:29" x14ac:dyDescent="0.2">
      <c r="B179" s="3">
        <v>177</v>
      </c>
      <c r="C179" s="6">
        <v>5.9999999999999201</v>
      </c>
      <c r="D179" s="6">
        <v>61.6875</v>
      </c>
      <c r="E179" s="8">
        <v>-1.5707963267948966</v>
      </c>
      <c r="F179" s="7"/>
      <c r="G179" s="10">
        <v>7.7506618614362397</v>
      </c>
      <c r="H179" s="10">
        <v>62.594827071588703</v>
      </c>
      <c r="I179" s="10">
        <v>-1.50344760693885</v>
      </c>
      <c r="K179" s="10">
        <v>7.8826918765489697</v>
      </c>
      <c r="L179" s="10">
        <v>62.7910711841077</v>
      </c>
      <c r="M179" s="10">
        <v>-1.58837376736257</v>
      </c>
      <c r="N179" s="13"/>
      <c r="O179" s="10">
        <v>8.6443195157176103</v>
      </c>
      <c r="P179" s="10">
        <v>62.468967629928102</v>
      </c>
      <c r="Q179" s="10">
        <v>-1.6158406839886601</v>
      </c>
      <c r="R179" s="13"/>
      <c r="S179" s="8">
        <v>-1.5707963267948966</v>
      </c>
      <c r="T179" s="17"/>
      <c r="U179" s="13">
        <f t="shared" si="16"/>
        <v>0</v>
      </c>
      <c r="V179" s="13">
        <f t="shared" si="17"/>
        <v>3.8587974033603909</v>
      </c>
      <c r="W179" s="13">
        <f t="shared" si="18"/>
        <v>-1.0071131591697242</v>
      </c>
      <c r="X179" s="13">
        <f t="shared" si="19"/>
        <v>-2.580851558082399</v>
      </c>
      <c r="Z179" t="str">
        <f t="shared" si="20"/>
        <v>5.99999999999992,61.6875</v>
      </c>
      <c r="AA179" t="str">
        <f t="shared" si="21"/>
        <v>7.75066186143624,62.5948270715887</v>
      </c>
      <c r="AB179" t="str">
        <f t="shared" si="22"/>
        <v>7.88269187654897,62.7910711841077</v>
      </c>
      <c r="AC179" t="str">
        <f t="shared" si="23"/>
        <v>8.64431951571761,62.4689676299281</v>
      </c>
    </row>
    <row r="180" spans="2:29" x14ac:dyDescent="0.2">
      <c r="B180" s="3">
        <v>178</v>
      </c>
      <c r="C180" s="6">
        <v>5.3999999999999204</v>
      </c>
      <c r="D180" s="6">
        <v>61.6875</v>
      </c>
      <c r="E180" s="8">
        <v>-1.5707963267948966</v>
      </c>
      <c r="F180" s="7"/>
      <c r="G180" s="10">
        <v>7.1520221021854802</v>
      </c>
      <c r="H180" s="10">
        <v>62.635205762060103</v>
      </c>
      <c r="I180" s="10">
        <v>-1.7379663368765601</v>
      </c>
      <c r="K180" s="10">
        <v>7.2827845640875601</v>
      </c>
      <c r="L180" s="10">
        <v>62.780525262842602</v>
      </c>
      <c r="M180" s="10">
        <v>-1.7379663368765601</v>
      </c>
      <c r="N180" s="13"/>
      <c r="O180" s="10">
        <v>8.0449281110386401</v>
      </c>
      <c r="P180" s="10">
        <v>62.441950154158299</v>
      </c>
      <c r="Q180" s="10">
        <v>-1.75109839107909</v>
      </c>
      <c r="R180" s="13"/>
      <c r="S180" s="8">
        <v>-1.5707963267948966</v>
      </c>
      <c r="T180" s="17"/>
      <c r="U180" s="13">
        <f t="shared" si="16"/>
        <v>0</v>
      </c>
      <c r="V180" s="13">
        <f t="shared" si="17"/>
        <v>-9.5781360388387444</v>
      </c>
      <c r="W180" s="13">
        <f t="shared" si="18"/>
        <v>-9.5781360388387444</v>
      </c>
      <c r="X180" s="13">
        <f t="shared" si="19"/>
        <v>-10.330547320980745</v>
      </c>
      <c r="Z180" t="str">
        <f t="shared" si="20"/>
        <v>5.39999999999992,61.6875</v>
      </c>
      <c r="AA180" t="str">
        <f t="shared" si="21"/>
        <v>7.15202210218548,62.6352057620601</v>
      </c>
      <c r="AB180" t="str">
        <f t="shared" si="22"/>
        <v>7.28278456408756,62.7805252628426</v>
      </c>
      <c r="AC180" t="str">
        <f t="shared" si="23"/>
        <v>8.04492811103864,62.4419501541583</v>
      </c>
    </row>
    <row r="181" spans="2:29" x14ac:dyDescent="0.2">
      <c r="B181" s="3">
        <v>179</v>
      </c>
      <c r="C181" s="6">
        <v>4.7999999999999199</v>
      </c>
      <c r="D181" s="6">
        <v>61.6875</v>
      </c>
      <c r="E181" s="8">
        <v>-1.5707963267948966</v>
      </c>
      <c r="F181" s="7"/>
      <c r="G181" s="10">
        <v>6.56038633983436</v>
      </c>
      <c r="H181" s="10">
        <v>62.535370273844698</v>
      </c>
      <c r="I181" s="10">
        <v>-1.63355054406281</v>
      </c>
      <c r="K181" s="10">
        <v>6.69114880173644</v>
      </c>
      <c r="L181" s="10">
        <v>62.680689774627197</v>
      </c>
      <c r="M181" s="10">
        <v>-1.63355054406281</v>
      </c>
      <c r="N181" s="13"/>
      <c r="O181" s="10">
        <v>7.4546543693598499</v>
      </c>
      <c r="P181" s="10">
        <v>62.3343541045815</v>
      </c>
      <c r="Q181" s="10">
        <v>-1.6444277505268201</v>
      </c>
      <c r="R181" s="13"/>
      <c r="S181" s="8">
        <v>-1.5707963267948966</v>
      </c>
      <c r="T181" s="17"/>
      <c r="U181" s="13">
        <f t="shared" si="16"/>
        <v>0</v>
      </c>
      <c r="V181" s="13">
        <f t="shared" si="17"/>
        <v>-3.5955517960984302</v>
      </c>
      <c r="W181" s="13">
        <f t="shared" si="18"/>
        <v>-3.5955517960984302</v>
      </c>
      <c r="X181" s="13">
        <f t="shared" si="19"/>
        <v>-4.2187698193786289</v>
      </c>
      <c r="Z181" t="str">
        <f t="shared" si="20"/>
        <v>4.79999999999992,61.6875</v>
      </c>
      <c r="AA181" t="str">
        <f t="shared" si="21"/>
        <v>6.56038633983436,62.5353702738447</v>
      </c>
      <c r="AB181" t="str">
        <f t="shared" si="22"/>
        <v>6.69114880173644,62.6806897746272</v>
      </c>
      <c r="AC181" t="str">
        <f t="shared" si="23"/>
        <v>7.45465436935985,62.3343541045815</v>
      </c>
    </row>
    <row r="182" spans="2:29" x14ac:dyDescent="0.2">
      <c r="B182" s="3">
        <v>180</v>
      </c>
      <c r="C182" s="6">
        <v>4.1999999999999202</v>
      </c>
      <c r="D182" s="6">
        <v>61.6875</v>
      </c>
      <c r="E182" s="8">
        <v>-1.5707963267948966</v>
      </c>
      <c r="F182" s="7"/>
      <c r="G182" s="10">
        <v>5.9615673797065503</v>
      </c>
      <c r="H182" s="10">
        <v>62.497742451805003</v>
      </c>
      <c r="I182" s="10">
        <v>-1.74112442039888</v>
      </c>
      <c r="K182" s="10">
        <v>6.09232984160864</v>
      </c>
      <c r="L182" s="10">
        <v>62.643061952587502</v>
      </c>
      <c r="M182" s="10">
        <v>-1.74112442039888</v>
      </c>
      <c r="N182" s="13"/>
      <c r="O182" s="10">
        <v>6.8562801106208502</v>
      </c>
      <c r="P182" s="10">
        <v>62.290215159436002</v>
      </c>
      <c r="Q182" s="10">
        <v>-1.75561246319923</v>
      </c>
      <c r="R182" s="13"/>
      <c r="S182" s="8">
        <v>-1.5707963267948966</v>
      </c>
      <c r="T182" s="17"/>
      <c r="U182" s="13">
        <f t="shared" si="16"/>
        <v>0</v>
      </c>
      <c r="V182" s="13">
        <f t="shared" si="17"/>
        <v>-9.7590808960174851</v>
      </c>
      <c r="W182" s="13">
        <f t="shared" si="18"/>
        <v>-9.7590808960174851</v>
      </c>
      <c r="X182" s="13">
        <f t="shared" si="19"/>
        <v>-10.589184601882438</v>
      </c>
      <c r="Z182" t="str">
        <f t="shared" si="20"/>
        <v>4.19999999999992,61.6875</v>
      </c>
      <c r="AA182" t="str">
        <f t="shared" si="21"/>
        <v>5.96156737970655,62.497742451805</v>
      </c>
      <c r="AB182" t="str">
        <f t="shared" si="22"/>
        <v>6.09232984160864,62.6430619525875</v>
      </c>
      <c r="AC182" t="str">
        <f t="shared" si="23"/>
        <v>6.85628011062085,62.290215159436</v>
      </c>
    </row>
    <row r="183" spans="2:29" x14ac:dyDescent="0.2">
      <c r="B183" s="3">
        <v>181</v>
      </c>
      <c r="C183" s="6">
        <v>3.5999999999999202</v>
      </c>
      <c r="D183" s="6">
        <v>61.6875</v>
      </c>
      <c r="E183" s="8">
        <v>-1.5707963267948966</v>
      </c>
      <c r="F183" s="7"/>
      <c r="G183" s="10">
        <v>5.3702498559762999</v>
      </c>
      <c r="H183" s="10">
        <v>62.396039029396903</v>
      </c>
      <c r="I183" s="10">
        <v>-1.5812478419788301</v>
      </c>
      <c r="K183" s="10">
        <v>5.5010123178783896</v>
      </c>
      <c r="L183" s="10">
        <v>62.541358530179401</v>
      </c>
      <c r="M183" s="10">
        <v>-1.5812478419788301</v>
      </c>
      <c r="N183" s="13"/>
      <c r="O183" s="10">
        <v>6.2664980775688797</v>
      </c>
      <c r="P183" s="10">
        <v>62.1799556769002</v>
      </c>
      <c r="Q183" s="10">
        <v>-1.5986058920726001</v>
      </c>
      <c r="R183" s="13"/>
      <c r="S183" s="8">
        <v>-1.5707963267948966</v>
      </c>
      <c r="T183" s="17"/>
      <c r="U183" s="13">
        <f t="shared" si="16"/>
        <v>0</v>
      </c>
      <c r="V183" s="13">
        <f t="shared" si="17"/>
        <v>-0.59882770955628595</v>
      </c>
      <c r="W183" s="13">
        <f t="shared" si="18"/>
        <v>-0.59882770955628595</v>
      </c>
      <c r="X183" s="13">
        <f t="shared" si="19"/>
        <v>-1.5933707205059702</v>
      </c>
      <c r="Z183" t="str">
        <f t="shared" si="20"/>
        <v>3.59999999999992,61.6875</v>
      </c>
      <c r="AA183" t="str">
        <f t="shared" si="21"/>
        <v>5.3702498559763,62.3960390293969</v>
      </c>
      <c r="AB183" t="str">
        <f t="shared" si="22"/>
        <v>5.50101231787839,62.5413585301794</v>
      </c>
      <c r="AC183" t="str">
        <f t="shared" si="23"/>
        <v>6.26649807756888,62.1799556769002</v>
      </c>
    </row>
    <row r="184" spans="2:29" x14ac:dyDescent="0.2">
      <c r="B184" s="3">
        <v>182</v>
      </c>
      <c r="C184" s="6">
        <v>2.9999999999999201</v>
      </c>
      <c r="D184" s="6">
        <v>61.6875</v>
      </c>
      <c r="E184" s="8">
        <v>-1.5707963267948966</v>
      </c>
      <c r="F184" s="7"/>
      <c r="G184" s="10">
        <v>4.77028262592889</v>
      </c>
      <c r="H184" s="10">
        <v>62.389768234452198</v>
      </c>
      <c r="I184" s="10">
        <v>-1.5812478419788301</v>
      </c>
      <c r="K184" s="10">
        <v>4.9010450878309797</v>
      </c>
      <c r="L184" s="10">
        <v>62.535087735234697</v>
      </c>
      <c r="M184" s="10">
        <v>-1.6175071567574799</v>
      </c>
      <c r="N184" s="13"/>
      <c r="O184" s="10">
        <v>5.6667300741929401</v>
      </c>
      <c r="P184" s="10">
        <v>62.163272088364103</v>
      </c>
      <c r="Q184" s="10">
        <v>-1.62284644762302</v>
      </c>
      <c r="R184" s="13"/>
      <c r="S184" s="8">
        <v>-1.5707963267948966</v>
      </c>
      <c r="T184" s="17"/>
      <c r="U184" s="13">
        <f t="shared" si="16"/>
        <v>0</v>
      </c>
      <c r="V184" s="13">
        <f t="shared" si="17"/>
        <v>-0.59882770955628595</v>
      </c>
      <c r="W184" s="13">
        <f t="shared" si="18"/>
        <v>-2.676333414409255</v>
      </c>
      <c r="X184" s="13">
        <f t="shared" si="19"/>
        <v>-2.9822522465974544</v>
      </c>
      <c r="Z184" t="str">
        <f t="shared" si="20"/>
        <v>2.99999999999992,61.6875</v>
      </c>
      <c r="AA184" t="str">
        <f t="shared" si="21"/>
        <v>4.77028262592889,62.3897682344522</v>
      </c>
      <c r="AB184" t="str">
        <f t="shared" si="22"/>
        <v>4.90104508783098,62.5350877352347</v>
      </c>
      <c r="AC184" t="str">
        <f t="shared" si="23"/>
        <v>5.66673007419294,62.1632720883641</v>
      </c>
    </row>
    <row r="185" spans="2:29" x14ac:dyDescent="0.2">
      <c r="B185" s="3">
        <v>183</v>
      </c>
      <c r="C185" s="6">
        <v>2.39999999999992</v>
      </c>
      <c r="D185" s="6">
        <v>61.6875</v>
      </c>
      <c r="E185" s="8">
        <v>-1.5707963267948966</v>
      </c>
      <c r="F185" s="7"/>
      <c r="G185" s="10">
        <v>4.17031539588148</v>
      </c>
      <c r="H185" s="10">
        <v>62.383497439507501</v>
      </c>
      <c r="I185" s="10">
        <v>-1.6175071567574799</v>
      </c>
      <c r="K185" s="10">
        <v>4.3016995393129998</v>
      </c>
      <c r="L185" s="10">
        <v>62.507071427988897</v>
      </c>
      <c r="M185" s="10">
        <v>-1.6497815121948001</v>
      </c>
      <c r="N185" s="13"/>
      <c r="O185" s="10">
        <v>5.0675426552368199</v>
      </c>
      <c r="P185" s="10">
        <v>62.132056115454297</v>
      </c>
      <c r="Q185" s="10">
        <v>-1.66567380441014</v>
      </c>
      <c r="R185" s="13"/>
      <c r="S185" s="8">
        <v>-1.5707963267948966</v>
      </c>
      <c r="T185" s="17"/>
      <c r="U185" s="13">
        <f t="shared" si="16"/>
        <v>0</v>
      </c>
      <c r="V185" s="13">
        <f t="shared" si="17"/>
        <v>-2.676333414409255</v>
      </c>
      <c r="W185" s="13">
        <f t="shared" si="18"/>
        <v>-4.5255177674728007</v>
      </c>
      <c r="X185" s="13">
        <f t="shared" si="19"/>
        <v>-5.4360790382003925</v>
      </c>
      <c r="Z185" t="str">
        <f t="shared" si="20"/>
        <v>2.39999999999992,61.6875</v>
      </c>
      <c r="AA185" t="str">
        <f t="shared" si="21"/>
        <v>4.17031539588148,62.3834974395075</v>
      </c>
      <c r="AB185" t="str">
        <f t="shared" si="22"/>
        <v>4.301699539313,62.5070714279889</v>
      </c>
      <c r="AC185" t="str">
        <f t="shared" si="23"/>
        <v>5.06754265523682,62.1320561154543</v>
      </c>
    </row>
    <row r="186" spans="2:29" x14ac:dyDescent="0.2">
      <c r="B186" s="3">
        <v>184</v>
      </c>
      <c r="C186" s="6">
        <v>1.7999999999999201</v>
      </c>
      <c r="D186" s="6">
        <v>61.6875</v>
      </c>
      <c r="E186" s="8">
        <v>-1.5707963267948966</v>
      </c>
      <c r="F186" s="7"/>
      <c r="G186" s="10">
        <v>3.5709698473635001</v>
      </c>
      <c r="H186" s="10">
        <v>62.355481132261701</v>
      </c>
      <c r="I186" s="10">
        <v>-1.6497815121948001</v>
      </c>
      <c r="K186" s="10">
        <v>3.70357016434731</v>
      </c>
      <c r="L186" s="10">
        <v>62.459729577548202</v>
      </c>
      <c r="M186" s="10">
        <v>-1.6141431733731799</v>
      </c>
      <c r="N186" s="13"/>
      <c r="O186" s="10">
        <v>4.4702411507909998</v>
      </c>
      <c r="P186" s="10">
        <v>62.075214996651503</v>
      </c>
      <c r="Q186" s="10">
        <v>-1.62780561331761</v>
      </c>
      <c r="R186" s="13"/>
      <c r="S186" s="8">
        <v>-1.5707963267948966</v>
      </c>
      <c r="T186" s="17"/>
      <c r="U186" s="13">
        <f t="shared" si="16"/>
        <v>0</v>
      </c>
      <c r="V186" s="13">
        <f t="shared" si="17"/>
        <v>-4.5255177674728007</v>
      </c>
      <c r="W186" s="13">
        <f t="shared" si="18"/>
        <v>-2.4835913641367302</v>
      </c>
      <c r="X186" s="13">
        <f t="shared" si="19"/>
        <v>-3.266391510803524</v>
      </c>
      <c r="Z186" t="str">
        <f t="shared" si="20"/>
        <v>1.79999999999992,61.6875</v>
      </c>
      <c r="AA186" t="str">
        <f t="shared" si="21"/>
        <v>3.5709698473635,62.3554811322617</v>
      </c>
      <c r="AB186" t="str">
        <f t="shared" si="22"/>
        <v>3.70357016434731,62.4597295775482</v>
      </c>
      <c r="AC186" t="str">
        <f t="shared" si="23"/>
        <v>4.470241150791,62.0752149966515</v>
      </c>
    </row>
    <row r="187" spans="2:29" x14ac:dyDescent="0.2">
      <c r="B187" s="3">
        <v>185</v>
      </c>
      <c r="C187" s="6">
        <v>1.19999999999992</v>
      </c>
      <c r="D187" s="6">
        <v>61.6875</v>
      </c>
      <c r="E187" s="8">
        <v>-1.5707963267948966</v>
      </c>
      <c r="F187" s="7"/>
      <c r="G187" s="10">
        <v>2.9728404723978099</v>
      </c>
      <c r="H187" s="10">
        <v>62.308139281820999</v>
      </c>
      <c r="I187" s="10">
        <v>-1.8364020546937201</v>
      </c>
      <c r="K187" s="10">
        <v>3.1041337608240802</v>
      </c>
      <c r="L187" s="10">
        <v>62.433729613487998</v>
      </c>
      <c r="M187" s="10">
        <v>-1.8364020546937201</v>
      </c>
      <c r="N187" s="13"/>
      <c r="O187" s="10">
        <v>3.8712159043725101</v>
      </c>
      <c r="P187" s="10">
        <v>62.041027950080299</v>
      </c>
      <c r="Q187" s="10">
        <v>-1.8587015759657299</v>
      </c>
      <c r="R187" s="13"/>
      <c r="S187" s="8">
        <v>-1.5707963267948966</v>
      </c>
      <c r="T187" s="17"/>
      <c r="U187" s="13">
        <f t="shared" si="16"/>
        <v>0</v>
      </c>
      <c r="V187" s="13">
        <f t="shared" si="17"/>
        <v>-15.218087223102732</v>
      </c>
      <c r="W187" s="13">
        <f t="shared" si="18"/>
        <v>-15.218087223102732</v>
      </c>
      <c r="X187" s="13">
        <f t="shared" si="19"/>
        <v>-16.495755677151095</v>
      </c>
      <c r="Z187" t="str">
        <f t="shared" si="20"/>
        <v>1.19999999999992,61.6875</v>
      </c>
      <c r="AA187" t="str">
        <f t="shared" si="21"/>
        <v>2.97284047239781,62.308139281821</v>
      </c>
      <c r="AB187" t="str">
        <f t="shared" si="22"/>
        <v>3.10413376082408,62.433729613488</v>
      </c>
      <c r="AC187" t="str">
        <f t="shared" si="23"/>
        <v>3.87121590437251,62.0410279500803</v>
      </c>
    </row>
    <row r="188" spans="2:29" x14ac:dyDescent="0.2">
      <c r="B188" s="3">
        <v>186</v>
      </c>
      <c r="C188" s="6">
        <v>0.59999999999991704</v>
      </c>
      <c r="D188" s="6">
        <v>61.6875</v>
      </c>
      <c r="E188" s="8">
        <v>-1.5707963267948966</v>
      </c>
      <c r="F188" s="7"/>
      <c r="G188" s="10">
        <v>2.3938802655431499</v>
      </c>
      <c r="H188" s="10">
        <v>62.150642999710001</v>
      </c>
      <c r="I188" s="10">
        <v>-1.9418765669192899</v>
      </c>
      <c r="K188" s="10">
        <v>2.5251735539694198</v>
      </c>
      <c r="L188" s="10">
        <v>62.276233331376901</v>
      </c>
      <c r="M188" s="10">
        <v>-1.9418765669192899</v>
      </c>
      <c r="N188" s="13"/>
      <c r="O188" s="10">
        <v>3.2959114415576698</v>
      </c>
      <c r="P188" s="10">
        <v>61.870661359853997</v>
      </c>
      <c r="Q188" s="10">
        <v>-1.95129380508768</v>
      </c>
      <c r="R188" s="13"/>
      <c r="S188" s="8">
        <v>-1.5707963267948966</v>
      </c>
      <c r="T188" s="17"/>
      <c r="U188" s="13">
        <f t="shared" si="16"/>
        <v>0</v>
      </c>
      <c r="V188" s="13">
        <f t="shared" si="17"/>
        <v>-21.261331619828884</v>
      </c>
      <c r="W188" s="13">
        <f t="shared" si="18"/>
        <v>-21.261331619828884</v>
      </c>
      <c r="X188" s="13">
        <f t="shared" si="19"/>
        <v>-21.800899621547149</v>
      </c>
      <c r="Z188" t="str">
        <f t="shared" si="20"/>
        <v>0.599999999999917,61.6875</v>
      </c>
      <c r="AA188" t="str">
        <f t="shared" si="21"/>
        <v>2.39388026554315,62.15064299971</v>
      </c>
      <c r="AB188" t="str">
        <f t="shared" si="22"/>
        <v>2.52517355396942,62.2762333313769</v>
      </c>
      <c r="AC188" t="str">
        <f t="shared" si="23"/>
        <v>3.29591144155767,61.870661359854</v>
      </c>
    </row>
    <row r="189" spans="2:29" x14ac:dyDescent="0.2">
      <c r="B189" s="3">
        <v>187</v>
      </c>
      <c r="C189" s="6">
        <v>0.59999999999991704</v>
      </c>
      <c r="D189" s="6">
        <v>61.6875</v>
      </c>
      <c r="E189" s="8">
        <v>-3.1415926535897967</v>
      </c>
      <c r="F189" s="7"/>
      <c r="G189" s="10">
        <v>2.3938802655431499</v>
      </c>
      <c r="H189" s="10">
        <v>62.150642999710001</v>
      </c>
      <c r="I189" s="10">
        <v>-2.3237260829556199</v>
      </c>
      <c r="K189" s="10">
        <v>2.5251735539694198</v>
      </c>
      <c r="L189" s="10">
        <v>62.276233331376901</v>
      </c>
      <c r="M189" s="10">
        <v>-2.3237260829556199</v>
      </c>
      <c r="N189" s="13"/>
      <c r="O189" s="10">
        <v>3.2959114415576698</v>
      </c>
      <c r="P189" s="10">
        <v>61.870661359853997</v>
      </c>
      <c r="Q189" s="10">
        <v>-2.33940391757285</v>
      </c>
      <c r="R189" s="13"/>
      <c r="S189" s="8">
        <v>-3.1415926535897967</v>
      </c>
      <c r="T189" s="17"/>
      <c r="U189" s="13">
        <f t="shared" si="16"/>
        <v>0</v>
      </c>
      <c r="V189" s="13">
        <f t="shared" si="17"/>
        <v>46.860302702176568</v>
      </c>
      <c r="W189" s="13">
        <f t="shared" si="18"/>
        <v>46.860302702176568</v>
      </c>
      <c r="X189" s="13">
        <f t="shared" si="19"/>
        <v>45.962028946705175</v>
      </c>
      <c r="Z189" t="str">
        <f t="shared" si="20"/>
        <v>0.599999999999917,61.6875</v>
      </c>
      <c r="AA189" t="str">
        <f t="shared" si="21"/>
        <v>2.39388026554315,62.15064299971</v>
      </c>
      <c r="AB189" t="str">
        <f t="shared" si="22"/>
        <v>2.52517355396942,62.2762333313769</v>
      </c>
      <c r="AC189" t="str">
        <f t="shared" si="23"/>
        <v>3.29591144155767,61.870661359854</v>
      </c>
    </row>
    <row r="190" spans="2:29" x14ac:dyDescent="0.2">
      <c r="B190" s="3">
        <v>188</v>
      </c>
      <c r="C190" s="6">
        <v>0.59999999999991704</v>
      </c>
      <c r="D190" s="6">
        <v>60.427500000000002</v>
      </c>
      <c r="E190" s="8">
        <v>-3.1415926535897967</v>
      </c>
      <c r="F190" s="7"/>
      <c r="G190" s="10">
        <v>1.4744725083799599</v>
      </c>
      <c r="H190" s="10">
        <v>61.289080827798898</v>
      </c>
      <c r="I190" s="10">
        <v>-2.4618755625222399</v>
      </c>
      <c r="K190" s="10">
        <v>1.60576579680623</v>
      </c>
      <c r="L190" s="10">
        <v>61.414671159465797</v>
      </c>
      <c r="M190" s="10">
        <v>-2.4618755625222399</v>
      </c>
      <c r="N190" s="13"/>
      <c r="O190" s="10">
        <v>2.3901235506727998</v>
      </c>
      <c r="P190" s="10">
        <v>60.994791337118698</v>
      </c>
      <c r="Q190" s="10">
        <v>-2.43889935442549</v>
      </c>
      <c r="R190" s="13"/>
      <c r="S190" s="8">
        <v>-3.1415926535897967</v>
      </c>
      <c r="T190" s="17"/>
      <c r="U190" s="13">
        <f t="shared" si="16"/>
        <v>0</v>
      </c>
      <c r="V190" s="13">
        <f t="shared" si="17"/>
        <v>38.944920581080432</v>
      </c>
      <c r="W190" s="13">
        <f t="shared" si="18"/>
        <v>38.944920581080432</v>
      </c>
      <c r="X190" s="13">
        <f t="shared" si="19"/>
        <v>40.26136033423851</v>
      </c>
      <c r="Z190" t="str">
        <f t="shared" si="20"/>
        <v>0.599999999999917,60.4275</v>
      </c>
      <c r="AA190" t="str">
        <f t="shared" si="21"/>
        <v>1.47447250837996,61.2890808277989</v>
      </c>
      <c r="AB190" t="str">
        <f t="shared" si="22"/>
        <v>1.60576579680623,61.4146711594658</v>
      </c>
      <c r="AC190" t="str">
        <f t="shared" si="23"/>
        <v>2.3901235506728,60.9947913371187</v>
      </c>
    </row>
    <row r="191" spans="2:29" x14ac:dyDescent="0.2">
      <c r="B191" s="3">
        <v>189</v>
      </c>
      <c r="C191" s="6">
        <v>0.59999999999991704</v>
      </c>
      <c r="D191" s="6">
        <v>59.167499999999997</v>
      </c>
      <c r="E191" s="8">
        <v>-3.1415926535897967</v>
      </c>
      <c r="F191" s="7"/>
      <c r="G191" s="10">
        <v>0.68247050747638205</v>
      </c>
      <c r="H191" s="10">
        <v>60.309115098518099</v>
      </c>
      <c r="I191" s="10">
        <v>-3.14159265358979</v>
      </c>
      <c r="K191" s="10">
        <v>0.81376379590264902</v>
      </c>
      <c r="L191" s="10">
        <v>60.434705430185097</v>
      </c>
      <c r="M191" s="10">
        <v>-2.9245286589965702</v>
      </c>
      <c r="N191" s="13"/>
      <c r="O191" s="10">
        <v>1.5758166764024799</v>
      </c>
      <c r="P191" s="10">
        <v>60.0332798631798</v>
      </c>
      <c r="Q191" s="10">
        <v>-2.9033147527277099</v>
      </c>
      <c r="R191" s="13"/>
      <c r="S191" s="8">
        <v>-3.1415926535897967</v>
      </c>
      <c r="T191" s="17"/>
      <c r="U191" s="13">
        <f t="shared" si="16"/>
        <v>0</v>
      </c>
      <c r="V191" s="13">
        <f t="shared" si="17"/>
        <v>3.8166656177562204E-13</v>
      </c>
      <c r="W191" s="13">
        <f t="shared" si="18"/>
        <v>12.436850774442396</v>
      </c>
      <c r="X191" s="13">
        <f t="shared" si="19"/>
        <v>13.652318070634212</v>
      </c>
      <c r="Z191" t="str">
        <f t="shared" si="20"/>
        <v>0.599999999999917,59.1675</v>
      </c>
      <c r="AA191" t="str">
        <f t="shared" si="21"/>
        <v>0.682470507476382,60.3091150985181</v>
      </c>
      <c r="AB191" t="str">
        <f t="shared" si="22"/>
        <v>0.813763795902649,60.4347054301851</v>
      </c>
      <c r="AC191" t="str">
        <f t="shared" si="23"/>
        <v>1.57581667640248,60.0332798631798</v>
      </c>
    </row>
    <row r="192" spans="2:29" x14ac:dyDescent="0.2">
      <c r="B192" s="3">
        <v>190</v>
      </c>
      <c r="C192" s="6">
        <v>0.59999999999991704</v>
      </c>
      <c r="D192" s="6">
        <v>57.907499999999999</v>
      </c>
      <c r="E192" s="8">
        <v>-3.1415926535897967</v>
      </c>
      <c r="F192" s="7"/>
      <c r="G192" s="10">
        <v>0.68247050747638205</v>
      </c>
      <c r="H192" s="10">
        <v>59.049115098518101</v>
      </c>
      <c r="I192" s="10">
        <v>-3.14159265358979</v>
      </c>
      <c r="K192" s="10">
        <v>0.54240585340501501</v>
      </c>
      <c r="L192" s="10">
        <v>59.204272633546701</v>
      </c>
      <c r="M192" s="10">
        <v>-2.9721452005906301</v>
      </c>
      <c r="N192" s="13"/>
      <c r="O192" s="10">
        <v>1.278419462937</v>
      </c>
      <c r="P192" s="10">
        <v>58.808880052079303</v>
      </c>
      <c r="Q192" s="10">
        <v>-2.9806341233209399</v>
      </c>
      <c r="R192" s="13"/>
      <c r="S192" s="8">
        <v>-3.1415926535897967</v>
      </c>
      <c r="T192" s="17"/>
      <c r="U192" s="13">
        <f t="shared" si="16"/>
        <v>0</v>
      </c>
      <c r="V192" s="13">
        <f t="shared" si="17"/>
        <v>3.8166656177562204E-13</v>
      </c>
      <c r="W192" s="13">
        <f t="shared" si="18"/>
        <v>9.7086239060936261</v>
      </c>
      <c r="X192" s="13">
        <f t="shared" si="19"/>
        <v>9.2222444610342045</v>
      </c>
      <c r="Z192" t="str">
        <f t="shared" si="20"/>
        <v>0.599999999999917,57.9075</v>
      </c>
      <c r="AA192" t="str">
        <f t="shared" si="21"/>
        <v>0.682470507476382,59.0491150985181</v>
      </c>
      <c r="AB192" t="str">
        <f t="shared" si="22"/>
        <v>0.542405853405015,59.2042726335467</v>
      </c>
      <c r="AC192" t="str">
        <f t="shared" si="23"/>
        <v>1.278419462937,58.8088800520793</v>
      </c>
    </row>
    <row r="193" spans="2:29" x14ac:dyDescent="0.2">
      <c r="B193" s="3">
        <v>191</v>
      </c>
      <c r="C193" s="6">
        <v>0.59999999999991704</v>
      </c>
      <c r="D193" s="6">
        <v>56.647500000000001</v>
      </c>
      <c r="E193" s="8">
        <v>-3.1415926535897967</v>
      </c>
      <c r="F193" s="7"/>
      <c r="G193" s="10">
        <v>0.68247050747638205</v>
      </c>
      <c r="H193" s="10">
        <v>57.789115098518103</v>
      </c>
      <c r="I193" s="10">
        <v>-3.14159265358979</v>
      </c>
      <c r="K193" s="10">
        <v>0.32992229928977002</v>
      </c>
      <c r="L193" s="10">
        <v>57.962318230506597</v>
      </c>
      <c r="M193" s="10">
        <v>2.9625341278113</v>
      </c>
      <c r="N193" s="13"/>
      <c r="O193" s="10">
        <v>1.0764862930900001</v>
      </c>
      <c r="P193" s="10">
        <v>57.565166662702303</v>
      </c>
      <c r="Q193" s="10">
        <v>2.97467984019677</v>
      </c>
      <c r="R193" s="13"/>
      <c r="S193" s="8">
        <v>-3.1415926535897967</v>
      </c>
      <c r="T193" s="17"/>
      <c r="U193" s="13">
        <f t="shared" si="16"/>
        <v>0</v>
      </c>
      <c r="V193" s="13">
        <f t="shared" si="17"/>
        <v>3.8166656177562204E-13</v>
      </c>
      <c r="W193" s="13">
        <f>360-(M193-S193)*180/PI()</f>
        <v>10.259297812941895</v>
      </c>
      <c r="X193" s="13">
        <f>360-(Q193-S193)*180/PI()</f>
        <v>9.5633997540746805</v>
      </c>
      <c r="Z193" t="str">
        <f t="shared" si="20"/>
        <v>0.599999999999917,56.6475</v>
      </c>
      <c r="AA193" t="str">
        <f t="shared" si="21"/>
        <v>0.682470507476382,57.7891150985181</v>
      </c>
      <c r="AB193" t="str">
        <f t="shared" si="22"/>
        <v>0.32992229928977,57.9623182305066</v>
      </c>
      <c r="AC193" t="str">
        <f t="shared" si="23"/>
        <v>1.07648629309,57.5651666627023</v>
      </c>
    </row>
    <row r="194" spans="2:29" x14ac:dyDescent="0.2">
      <c r="B194" s="3">
        <v>192</v>
      </c>
      <c r="C194" s="6">
        <v>0.59999999999991704</v>
      </c>
      <c r="D194" s="6">
        <v>55.387500000000003</v>
      </c>
      <c r="E194" s="8">
        <v>-3.1415926535897967</v>
      </c>
      <c r="F194" s="7"/>
      <c r="G194" s="10">
        <v>0.68247050747638205</v>
      </c>
      <c r="H194" s="10">
        <v>56.529115098518197</v>
      </c>
      <c r="I194" s="10">
        <v>2.9625341278113</v>
      </c>
      <c r="K194" s="10">
        <v>0.554332370027669</v>
      </c>
      <c r="L194" s="10">
        <v>56.722463351840801</v>
      </c>
      <c r="M194" s="10">
        <v>-3.1341660577052202</v>
      </c>
      <c r="N194" s="13"/>
      <c r="O194" s="10">
        <v>1.28582126121776</v>
      </c>
      <c r="P194" s="10">
        <v>56.322677680409498</v>
      </c>
      <c r="Q194" s="10">
        <v>-3.12362140048972</v>
      </c>
      <c r="R194" s="13"/>
      <c r="S194" s="8">
        <v>-3.1415926535897967</v>
      </c>
      <c r="T194" s="17"/>
      <c r="U194" s="13">
        <f t="shared" si="16"/>
        <v>0</v>
      </c>
      <c r="V194" s="13">
        <f>360-(I194-S194)*180/PI()</f>
        <v>10.259297812941895</v>
      </c>
      <c r="W194" s="13">
        <f t="shared" si="18"/>
        <v>0.4255126003354599</v>
      </c>
      <c r="X194" s="13">
        <f t="shared" si="19"/>
        <v>1.0296769551957881</v>
      </c>
      <c r="Z194" t="str">
        <f t="shared" si="20"/>
        <v>0.599999999999917,55.3875</v>
      </c>
      <c r="AA194" t="str">
        <f t="shared" si="21"/>
        <v>0.682470507476382,56.5291150985182</v>
      </c>
      <c r="AB194" t="str">
        <f t="shared" si="22"/>
        <v>0.554332370027669,56.7224633518408</v>
      </c>
      <c r="AC194" t="str">
        <f t="shared" si="23"/>
        <v>1.28582126121776,56.3226776804095</v>
      </c>
    </row>
    <row r="195" spans="2:29" x14ac:dyDescent="0.2">
      <c r="B195" s="3">
        <v>193</v>
      </c>
      <c r="C195" s="6">
        <v>0.59999999999991704</v>
      </c>
      <c r="D195" s="6">
        <v>54.127499999999998</v>
      </c>
      <c r="E195" s="8">
        <v>-3.1415926535897967</v>
      </c>
      <c r="F195" s="7"/>
      <c r="G195" s="10">
        <v>0.90688057821428203</v>
      </c>
      <c r="H195" s="10">
        <v>55.289260219852302</v>
      </c>
      <c r="I195" s="10">
        <v>-3.14159265358979</v>
      </c>
      <c r="K195" s="10">
        <v>0.54497494523074097</v>
      </c>
      <c r="L195" s="10">
        <v>55.462498098906799</v>
      </c>
      <c r="M195" s="10">
        <v>3.1335760136661301</v>
      </c>
      <c r="N195" s="13"/>
      <c r="O195" s="10">
        <v>1.26317870115353</v>
      </c>
      <c r="P195" s="10">
        <v>55.062881143474399</v>
      </c>
      <c r="Q195" s="10">
        <v>3.1315656444931199</v>
      </c>
      <c r="R195" s="13"/>
      <c r="S195" s="8">
        <v>-3.1415926535897967</v>
      </c>
      <c r="T195" s="17"/>
      <c r="U195" s="13">
        <f t="shared" si="16"/>
        <v>0</v>
      </c>
      <c r="V195" s="13">
        <f t="shared" si="17"/>
        <v>3.8166656177562204E-13</v>
      </c>
      <c r="W195" s="13">
        <f>360-(M195-S195)*180/PI()</f>
        <v>0.45931963350176375</v>
      </c>
      <c r="X195" s="13">
        <f>360-(Q195-S195)*180/PI()</f>
        <v>0.57450530237844077</v>
      </c>
      <c r="Z195" t="str">
        <f t="shared" si="20"/>
        <v>0.599999999999917,54.1275</v>
      </c>
      <c r="AA195" t="str">
        <f t="shared" si="21"/>
        <v>0.906880578214282,55.2892602198523</v>
      </c>
      <c r="AB195" t="str">
        <f t="shared" si="22"/>
        <v>0.544974945230741,55.4624980989068</v>
      </c>
      <c r="AC195" t="str">
        <f t="shared" si="23"/>
        <v>1.26317870115353,55.0628811434744</v>
      </c>
    </row>
    <row r="196" spans="2:29" x14ac:dyDescent="0.2">
      <c r="B196" s="3">
        <v>194</v>
      </c>
      <c r="C196" s="6">
        <v>0.59999999999991604</v>
      </c>
      <c r="D196" s="6">
        <v>52.8675</v>
      </c>
      <c r="E196" s="8">
        <v>-3.1415926535897967</v>
      </c>
      <c r="F196" s="7"/>
      <c r="G196" s="10">
        <v>0.90688057821428203</v>
      </c>
      <c r="H196" s="10">
        <v>54.029260219852297</v>
      </c>
      <c r="I196" s="10">
        <v>3.1335760136661301</v>
      </c>
      <c r="K196" s="10">
        <v>0.55507580334258899</v>
      </c>
      <c r="L196" s="10">
        <v>54.202538586594798</v>
      </c>
      <c r="M196" s="10">
        <v>-2.9898189193811699</v>
      </c>
      <c r="N196" s="13"/>
      <c r="O196" s="10">
        <v>1.27581252091024</v>
      </c>
      <c r="P196" s="10">
        <v>53.802944483717901</v>
      </c>
      <c r="Q196" s="10">
        <v>-2.9934132433248499</v>
      </c>
      <c r="R196" s="13"/>
      <c r="S196" s="8">
        <v>-3.1415926535897967</v>
      </c>
      <c r="T196" s="17"/>
      <c r="U196" s="13">
        <f t="shared" ref="U196:U238" si="24">E196-S196</f>
        <v>0</v>
      </c>
      <c r="V196" s="13">
        <f>360-(I196-S196)*180/PI()</f>
        <v>0.45931963350176375</v>
      </c>
      <c r="W196" s="13">
        <f t="shared" ref="W196:W238" si="25">(M196-S196)*180/PI()</f>
        <v>8.6959944110946363</v>
      </c>
      <c r="X196" s="13">
        <f t="shared" ref="X196:X238" si="26">(Q196-S196)*180/PI()</f>
        <v>8.4900548189189546</v>
      </c>
      <c r="Z196" t="str">
        <f t="shared" ref="Z196:Z238" si="27">C196&amp;","&amp;D196</f>
        <v>0.599999999999916,52.8675</v>
      </c>
      <c r="AA196" t="str">
        <f t="shared" ref="AA196:AA238" si="28">G196&amp;","&amp;H196</f>
        <v>0.906880578214282,54.0292602198523</v>
      </c>
      <c r="AB196" t="str">
        <f t="shared" ref="AB196:AB238" si="29">K196&amp;","&amp;L196</f>
        <v>0.555075803342589,54.2025385865948</v>
      </c>
      <c r="AC196" t="str">
        <f t="shared" ref="AC196:AC238" si="30">O196&amp;","&amp;P196</f>
        <v>1.27581252091024,53.8029444837179</v>
      </c>
    </row>
    <row r="197" spans="2:29" x14ac:dyDescent="0.2">
      <c r="B197" s="3">
        <v>195</v>
      </c>
      <c r="C197" s="6">
        <v>0.59999999999991604</v>
      </c>
      <c r="D197" s="6">
        <v>51.607500000000002</v>
      </c>
      <c r="E197" s="8">
        <v>-3.1415926535897967</v>
      </c>
      <c r="F197" s="7"/>
      <c r="G197" s="10">
        <v>0.91698143632613005</v>
      </c>
      <c r="H197" s="10">
        <v>52.769300707540403</v>
      </c>
      <c r="I197" s="10">
        <v>-3.14159265358979</v>
      </c>
      <c r="K197" s="10">
        <v>0.36457424425277002</v>
      </c>
      <c r="L197" s="10">
        <v>52.957022968072003</v>
      </c>
      <c r="M197" s="10">
        <v>-2.9538973927342602</v>
      </c>
      <c r="N197" s="13"/>
      <c r="O197" s="10">
        <v>1.0897889693500999</v>
      </c>
      <c r="P197" s="10">
        <v>52.556752187856297</v>
      </c>
      <c r="Q197" s="10">
        <v>-2.94801847648823</v>
      </c>
      <c r="R197" s="13"/>
      <c r="S197" s="8">
        <v>-3.1415926535897967</v>
      </c>
      <c r="T197" s="17"/>
      <c r="U197" s="13">
        <f t="shared" si="24"/>
        <v>0</v>
      </c>
      <c r="V197" s="13">
        <f t="shared" ref="V196:V238" si="31">(I197-S197)*180/PI()</f>
        <v>3.8166656177562204E-13</v>
      </c>
      <c r="W197" s="13">
        <f t="shared" si="25"/>
        <v>10.754146281629287</v>
      </c>
      <c r="X197" s="13">
        <f t="shared" si="26"/>
        <v>11.090983370637712</v>
      </c>
      <c r="Z197" t="str">
        <f t="shared" si="27"/>
        <v>0.599999999999916,51.6075</v>
      </c>
      <c r="AA197" t="str">
        <f t="shared" si="28"/>
        <v>0.91698143632613,52.7693007075404</v>
      </c>
      <c r="AB197" t="str">
        <f t="shared" si="29"/>
        <v>0.36457424425277,52.957022968072</v>
      </c>
      <c r="AC197" t="str">
        <f t="shared" si="30"/>
        <v>1.0897889693501,52.5567521878563</v>
      </c>
    </row>
    <row r="198" spans="2:29" x14ac:dyDescent="0.2">
      <c r="B198" s="3">
        <v>196</v>
      </c>
      <c r="C198" s="6">
        <v>0.59999999999991604</v>
      </c>
      <c r="D198" s="6">
        <v>50.347499999999997</v>
      </c>
      <c r="E198" s="8">
        <v>-3.1415926535897967</v>
      </c>
      <c r="F198" s="7"/>
      <c r="G198" s="10">
        <v>0.91698143632613005</v>
      </c>
      <c r="H198" s="10">
        <v>51.509300707540397</v>
      </c>
      <c r="I198" s="10">
        <v>-3.14159265358979</v>
      </c>
      <c r="K198" s="10">
        <v>0.12946437820086201</v>
      </c>
      <c r="L198" s="10">
        <v>51.719152477719597</v>
      </c>
      <c r="M198" s="10">
        <v>-3.0956366331770302</v>
      </c>
      <c r="N198" s="13"/>
      <c r="O198" s="10">
        <v>0.84740587116286104</v>
      </c>
      <c r="P198" s="10">
        <v>51.320285272118902</v>
      </c>
      <c r="Q198" s="10">
        <v>-3.09811027010086</v>
      </c>
      <c r="R198" s="13"/>
      <c r="S198" s="8">
        <v>-3.1415926535897967</v>
      </c>
      <c r="T198" s="17"/>
      <c r="U198" s="13">
        <f t="shared" si="24"/>
        <v>0</v>
      </c>
      <c r="V198" s="13">
        <f t="shared" si="31"/>
        <v>3.8166656177562204E-13</v>
      </c>
      <c r="W198" s="13">
        <f t="shared" si="25"/>
        <v>2.6330860128685782</v>
      </c>
      <c r="X198" s="13">
        <f t="shared" si="26"/>
        <v>2.4913570570854042</v>
      </c>
      <c r="Z198" t="str">
        <f t="shared" si="27"/>
        <v>0.599999999999916,50.3475</v>
      </c>
      <c r="AA198" t="str">
        <f t="shared" si="28"/>
        <v>0.91698143632613,51.5093007075404</v>
      </c>
      <c r="AB198" t="str">
        <f t="shared" si="29"/>
        <v>0.129464378200862,51.7191524777196</v>
      </c>
      <c r="AC198" t="str">
        <f t="shared" si="30"/>
        <v>0.847405871162861,51.3202852721189</v>
      </c>
    </row>
    <row r="199" spans="2:29" x14ac:dyDescent="0.2">
      <c r="B199" s="3">
        <v>197</v>
      </c>
      <c r="C199" s="6">
        <v>0.59999999999991604</v>
      </c>
      <c r="D199" s="6">
        <v>49.087499999999999</v>
      </c>
      <c r="E199" s="8">
        <v>-3.1415926535897967</v>
      </c>
      <c r="F199" s="7"/>
      <c r="G199" s="10">
        <v>0.91698143632613005</v>
      </c>
      <c r="H199" s="10">
        <v>50.249300707540399</v>
      </c>
      <c r="I199" s="10">
        <v>-3.14159265358979</v>
      </c>
      <c r="K199" s="10">
        <v>7.15801723163247E-2</v>
      </c>
      <c r="L199" s="10">
        <v>50.460482775728998</v>
      </c>
      <c r="M199" s="10">
        <v>-3.0831901561504802</v>
      </c>
      <c r="N199" s="13"/>
      <c r="O199" s="10">
        <v>0.792635331046043</v>
      </c>
      <c r="P199" s="10">
        <v>50.061476236587502</v>
      </c>
      <c r="Q199" s="10">
        <v>-3.0840078666361701</v>
      </c>
      <c r="R199" s="13"/>
      <c r="S199" s="8">
        <v>-3.1415926535897967</v>
      </c>
      <c r="T199" s="17"/>
      <c r="U199" s="13">
        <f t="shared" si="24"/>
        <v>0</v>
      </c>
      <c r="V199" s="13">
        <f t="shared" si="31"/>
        <v>3.8166656177562204E-13</v>
      </c>
      <c r="W199" s="13">
        <f t="shared" si="25"/>
        <v>3.3462166162964313</v>
      </c>
      <c r="X199" s="13">
        <f t="shared" si="26"/>
        <v>3.2993652566028073</v>
      </c>
      <c r="Z199" t="str">
        <f t="shared" si="27"/>
        <v>0.599999999999916,49.0875</v>
      </c>
      <c r="AA199" t="str">
        <f t="shared" si="28"/>
        <v>0.91698143632613,50.2493007075404</v>
      </c>
      <c r="AB199" t="str">
        <f t="shared" si="29"/>
        <v>0.0715801723163247,50.460482775729</v>
      </c>
      <c r="AC199" t="str">
        <f t="shared" si="30"/>
        <v>0.792635331046043,50.0614762365875</v>
      </c>
    </row>
    <row r="200" spans="2:29" x14ac:dyDescent="0.2">
      <c r="B200" s="3">
        <v>198</v>
      </c>
      <c r="C200" s="6">
        <v>0.59999999999991604</v>
      </c>
      <c r="D200" s="6">
        <v>47.827500000000001</v>
      </c>
      <c r="E200" s="8">
        <v>-3.1415926535897967</v>
      </c>
      <c r="F200" s="7"/>
      <c r="G200" s="10">
        <v>0.91698143632613005</v>
      </c>
      <c r="H200" s="10">
        <v>48.989300707540401</v>
      </c>
      <c r="I200" s="10">
        <v>-3.14159265358979</v>
      </c>
      <c r="K200" s="10">
        <v>-1.96514911665369E-3</v>
      </c>
      <c r="L200" s="10">
        <v>49.202631001593701</v>
      </c>
      <c r="M200" s="10">
        <v>-3.0808619570726199</v>
      </c>
      <c r="N200" s="13"/>
      <c r="O200" s="10">
        <v>0.72011859267165501</v>
      </c>
      <c r="P200" s="10">
        <v>48.80356474421</v>
      </c>
      <c r="Q200" s="10">
        <v>-3.07231173214999</v>
      </c>
      <c r="R200" s="13"/>
      <c r="S200" s="8">
        <v>-3.1415926535897967</v>
      </c>
      <c r="T200" s="17"/>
      <c r="U200" s="13">
        <f t="shared" si="24"/>
        <v>0</v>
      </c>
      <c r="V200" s="13">
        <f t="shared" si="31"/>
        <v>3.8166656177562204E-13</v>
      </c>
      <c r="W200" s="13">
        <f t="shared" si="25"/>
        <v>3.4796125973240772</v>
      </c>
      <c r="X200" s="13">
        <f t="shared" si="26"/>
        <v>3.9695043992783416</v>
      </c>
      <c r="Z200" t="str">
        <f t="shared" si="27"/>
        <v>0.599999999999916,47.8275</v>
      </c>
      <c r="AA200" t="str">
        <f t="shared" si="28"/>
        <v>0.91698143632613,48.9893007075404</v>
      </c>
      <c r="AB200" t="str">
        <f t="shared" si="29"/>
        <v>-0.00196514911665369,49.2026310015937</v>
      </c>
      <c r="AC200" t="str">
        <f t="shared" si="30"/>
        <v>0.720118592671655,48.80356474421</v>
      </c>
    </row>
    <row r="201" spans="2:29" x14ac:dyDescent="0.2">
      <c r="B201" s="3">
        <v>199</v>
      </c>
      <c r="C201" s="6">
        <v>0.59999999999991604</v>
      </c>
      <c r="D201" s="6">
        <v>46.567500000000003</v>
      </c>
      <c r="E201" s="8">
        <v>-3.1415926535897967</v>
      </c>
      <c r="F201" s="7"/>
      <c r="G201" s="10">
        <v>0.91698143632613005</v>
      </c>
      <c r="H201" s="10">
        <v>47.729300707540403</v>
      </c>
      <c r="I201" s="10">
        <v>-3.14159265358979</v>
      </c>
      <c r="K201" s="10">
        <v>-7.8438797918052097E-2</v>
      </c>
      <c r="L201" s="10">
        <v>47.944953864551401</v>
      </c>
      <c r="M201" s="10">
        <v>3.1054516873045701</v>
      </c>
      <c r="N201" s="13"/>
      <c r="O201" s="10">
        <v>0.63289444782942295</v>
      </c>
      <c r="P201" s="10">
        <v>47.546587437908599</v>
      </c>
      <c r="Q201" s="10">
        <v>3.1044386447865699</v>
      </c>
      <c r="R201" s="13"/>
      <c r="S201" s="8">
        <v>-3.1415926535897967</v>
      </c>
      <c r="T201" s="17"/>
      <c r="U201" s="13">
        <f t="shared" si="24"/>
        <v>0</v>
      </c>
      <c r="V201" s="13">
        <f t="shared" si="31"/>
        <v>3.8166656177562204E-13</v>
      </c>
      <c r="W201" s="13">
        <f>360-(M201-S201)*180/PI()</f>
        <v>2.0707248356677042</v>
      </c>
      <c r="X201" s="13">
        <f>360-(Q201-S201)*180/PI()</f>
        <v>2.1287678964163774</v>
      </c>
      <c r="Z201" t="str">
        <f t="shared" si="27"/>
        <v>0.599999999999916,46.5675</v>
      </c>
      <c r="AA201" t="str">
        <f t="shared" si="28"/>
        <v>0.91698143632613,47.7293007075404</v>
      </c>
      <c r="AB201" t="str">
        <f t="shared" si="29"/>
        <v>-0.0784387979180521,47.9449538645514</v>
      </c>
      <c r="AC201" t="str">
        <f t="shared" si="30"/>
        <v>0.632894447829423,47.5465874379086</v>
      </c>
    </row>
    <row r="202" spans="2:29" x14ac:dyDescent="0.2">
      <c r="B202" s="3">
        <v>200</v>
      </c>
      <c r="C202" s="6">
        <v>0.59999999999991604</v>
      </c>
      <c r="D202" s="6">
        <v>45.307499999999997</v>
      </c>
      <c r="E202" s="8">
        <v>-3.1415926535897967</v>
      </c>
      <c r="F202" s="7"/>
      <c r="G202" s="10">
        <v>0.91698143632613005</v>
      </c>
      <c r="H202" s="10">
        <v>46.469300707540398</v>
      </c>
      <c r="I202" s="10">
        <v>3.1054516873045701</v>
      </c>
      <c r="K202" s="10">
        <v>-3.2911093058692199E-2</v>
      </c>
      <c r="L202" s="10">
        <v>46.6857766617359</v>
      </c>
      <c r="M202" s="10">
        <v>-3.09671774029297</v>
      </c>
      <c r="N202" s="13"/>
      <c r="O202" s="10">
        <v>0.67969772915322801</v>
      </c>
      <c r="P202" s="10">
        <v>46.2874570027045</v>
      </c>
      <c r="Q202" s="10">
        <v>-3.0847982768072502</v>
      </c>
      <c r="R202" s="13"/>
      <c r="S202" s="8">
        <v>-3.1415926535897967</v>
      </c>
      <c r="T202" s="17"/>
      <c r="U202" s="13">
        <f t="shared" si="24"/>
        <v>0</v>
      </c>
      <c r="V202" s="13">
        <f>360-(I202-S202)*180/PI()</f>
        <v>2.0707248356677042</v>
      </c>
      <c r="W202" s="13">
        <f t="shared" si="25"/>
        <v>2.5711431379236682</v>
      </c>
      <c r="X202" s="13">
        <f t="shared" si="26"/>
        <v>3.2540780897157067</v>
      </c>
      <c r="Z202" t="str">
        <f t="shared" si="27"/>
        <v>0.599999999999916,45.3075</v>
      </c>
      <c r="AA202" t="str">
        <f t="shared" si="28"/>
        <v>0.91698143632613,46.4693007075404</v>
      </c>
      <c r="AB202" t="str">
        <f t="shared" si="29"/>
        <v>-0.0329110930586922,46.6857766617359</v>
      </c>
      <c r="AC202" t="str">
        <f t="shared" si="30"/>
        <v>0.679697729153228,46.2874570027045</v>
      </c>
    </row>
    <row r="203" spans="2:29" x14ac:dyDescent="0.2">
      <c r="B203" s="3">
        <v>201</v>
      </c>
      <c r="C203" s="6">
        <v>0.59999999999991604</v>
      </c>
      <c r="D203" s="6">
        <v>44.047499999999999</v>
      </c>
      <c r="E203" s="8">
        <v>-3.1415926535897967</v>
      </c>
      <c r="F203" s="7"/>
      <c r="G203" s="10">
        <v>0.96250914118549002</v>
      </c>
      <c r="H203" s="10">
        <v>45.210123504724898</v>
      </c>
      <c r="I203" s="10">
        <v>-3.14159265358979</v>
      </c>
      <c r="K203" s="10">
        <v>-8.9434508609553695E-2</v>
      </c>
      <c r="L203" s="10">
        <v>45.427045116292497</v>
      </c>
      <c r="M203" s="10">
        <v>-3.0993847805285899</v>
      </c>
      <c r="N203" s="13"/>
      <c r="O203" s="10">
        <v>0.60817527936556004</v>
      </c>
      <c r="P203" s="10">
        <v>45.0294885853043</v>
      </c>
      <c r="Q203" s="10">
        <v>-3.11234857625757</v>
      </c>
      <c r="R203" s="13"/>
      <c r="S203" s="8">
        <v>-3.1415926535897967</v>
      </c>
      <c r="T203" s="17"/>
      <c r="U203" s="13">
        <f t="shared" si="24"/>
        <v>0</v>
      </c>
      <c r="V203" s="13">
        <f t="shared" si="31"/>
        <v>3.8166656177562204E-13</v>
      </c>
      <c r="W203" s="13">
        <f t="shared" si="25"/>
        <v>2.4183329886310703</v>
      </c>
      <c r="X203" s="13">
        <f t="shared" si="26"/>
        <v>1.6755622068907881</v>
      </c>
      <c r="Z203" t="str">
        <f t="shared" si="27"/>
        <v>0.599999999999916,44.0475</v>
      </c>
      <c r="AA203" t="str">
        <f t="shared" si="28"/>
        <v>0.96250914118549,45.2101235047249</v>
      </c>
      <c r="AB203" t="str">
        <f t="shared" si="29"/>
        <v>-0.0894345086095537,45.4270451162925</v>
      </c>
      <c r="AC203" t="str">
        <f t="shared" si="30"/>
        <v>0.60817527936556,45.0294885853043</v>
      </c>
    </row>
    <row r="204" spans="2:29" x14ac:dyDescent="0.2">
      <c r="B204" s="3">
        <v>202</v>
      </c>
      <c r="C204" s="6">
        <v>0.59999999999991604</v>
      </c>
      <c r="D204" s="6">
        <v>42.787500000000001</v>
      </c>
      <c r="E204" s="8">
        <v>-3.1415926535897967</v>
      </c>
      <c r="F204" s="7"/>
      <c r="G204" s="10">
        <v>0.96250914118549002</v>
      </c>
      <c r="H204" s="10">
        <v>43.9501235047249</v>
      </c>
      <c r="I204" s="10">
        <v>-3.14159265358979</v>
      </c>
      <c r="K204" s="10">
        <v>-0.142600639434416</v>
      </c>
      <c r="L204" s="10">
        <v>44.168167297545502</v>
      </c>
      <c r="M204" s="10">
        <v>-3.0385312039962198</v>
      </c>
      <c r="N204" s="13"/>
      <c r="O204" s="10">
        <v>0.57133299380333102</v>
      </c>
      <c r="P204" s="10">
        <v>43.770027333024402</v>
      </c>
      <c r="Q204" s="10">
        <v>-3.0436274184556198</v>
      </c>
      <c r="R204" s="13"/>
      <c r="S204" s="8">
        <v>-3.1415926535897967</v>
      </c>
      <c r="T204" s="17"/>
      <c r="U204" s="13">
        <f t="shared" si="24"/>
        <v>0</v>
      </c>
      <c r="V204" s="13">
        <f t="shared" si="31"/>
        <v>3.8166656177562204E-13</v>
      </c>
      <c r="W204" s="13">
        <f t="shared" si="25"/>
        <v>5.904986092212229</v>
      </c>
      <c r="X204" s="13">
        <f t="shared" si="26"/>
        <v>5.6129945121950646</v>
      </c>
      <c r="Z204" t="str">
        <f t="shared" si="27"/>
        <v>0.599999999999916,42.7875</v>
      </c>
      <c r="AA204" t="str">
        <f t="shared" si="28"/>
        <v>0.96250914118549,43.9501235047249</v>
      </c>
      <c r="AB204" t="str">
        <f t="shared" si="29"/>
        <v>-0.142600639434416,44.1681672975455</v>
      </c>
      <c r="AC204" t="str">
        <f t="shared" si="30"/>
        <v>0.571332993803331,43.7700273330244</v>
      </c>
    </row>
    <row r="205" spans="2:29" x14ac:dyDescent="0.2">
      <c r="B205" s="3">
        <v>203</v>
      </c>
      <c r="C205" s="6">
        <v>0.59999999999991505</v>
      </c>
      <c r="D205" s="6">
        <v>41.527500000000003</v>
      </c>
      <c r="E205" s="8">
        <v>-3.1415926535897967</v>
      </c>
      <c r="F205" s="7"/>
      <c r="G205" s="10">
        <v>0.96250914118549002</v>
      </c>
      <c r="H205" s="10">
        <v>42.690123504724902</v>
      </c>
      <c r="I205" s="10">
        <v>-3.14159265358979</v>
      </c>
      <c r="K205" s="10">
        <v>-0.27222830435487899</v>
      </c>
      <c r="L205" s="10">
        <v>42.914853023914503</v>
      </c>
      <c r="M205" s="10">
        <v>-3.0709723970367699</v>
      </c>
      <c r="N205" s="13"/>
      <c r="O205" s="10">
        <v>0.44809414286155702</v>
      </c>
      <c r="P205" s="10">
        <v>42.516068727001603</v>
      </c>
      <c r="Q205" s="10">
        <v>-3.08343758014755</v>
      </c>
      <c r="R205" s="13"/>
      <c r="S205" s="8">
        <v>-3.1415926535897967</v>
      </c>
      <c r="T205" s="17"/>
      <c r="U205" s="13">
        <f t="shared" si="24"/>
        <v>0</v>
      </c>
      <c r="V205" s="13">
        <f t="shared" si="31"/>
        <v>3.8166656177562204E-13</v>
      </c>
      <c r="W205" s="13">
        <f t="shared" si="25"/>
        <v>4.0462426486195264</v>
      </c>
      <c r="X205" s="13">
        <f t="shared" si="26"/>
        <v>3.3320402655140757</v>
      </c>
      <c r="Z205" t="str">
        <f t="shared" si="27"/>
        <v>0.599999999999915,41.5275</v>
      </c>
      <c r="AA205" t="str">
        <f t="shared" si="28"/>
        <v>0.96250914118549,42.6901235047249</v>
      </c>
      <c r="AB205" t="str">
        <f t="shared" si="29"/>
        <v>-0.272228304354879,42.9148530239145</v>
      </c>
      <c r="AC205" t="str">
        <f t="shared" si="30"/>
        <v>0.448094142861557,42.5160687270016</v>
      </c>
    </row>
    <row r="206" spans="2:29" x14ac:dyDescent="0.2">
      <c r="B206" s="3">
        <v>204</v>
      </c>
      <c r="C206" s="6">
        <v>0.59999999999991505</v>
      </c>
      <c r="D206" s="6">
        <v>40.267499999999998</v>
      </c>
      <c r="E206" s="8">
        <v>-3.1415926535897967</v>
      </c>
      <c r="F206" s="7"/>
      <c r="G206" s="10">
        <v>0.96250914118549102</v>
      </c>
      <c r="H206" s="10">
        <v>41.430123504724897</v>
      </c>
      <c r="I206" s="10">
        <v>-3.14159265358979</v>
      </c>
      <c r="K206" s="10">
        <v>-0.36113588430451699</v>
      </c>
      <c r="L206" s="10">
        <v>41.657993667332597</v>
      </c>
      <c r="M206" s="10">
        <v>-3.0974968822234001</v>
      </c>
      <c r="N206" s="13"/>
      <c r="O206" s="10">
        <v>0.374860046390252</v>
      </c>
      <c r="P206" s="10">
        <v>41.258198794491101</v>
      </c>
      <c r="Q206" s="10">
        <v>-3.0986412706296602</v>
      </c>
      <c r="R206" s="13"/>
      <c r="S206" s="8">
        <v>-3.1415926535897967</v>
      </c>
      <c r="T206" s="17"/>
      <c r="U206" s="13">
        <f t="shared" si="24"/>
        <v>0</v>
      </c>
      <c r="V206" s="13">
        <f t="shared" si="31"/>
        <v>3.8166656177562204E-13</v>
      </c>
      <c r="W206" s="13">
        <f t="shared" si="25"/>
        <v>2.5265015936683444</v>
      </c>
      <c r="X206" s="13">
        <f t="shared" si="26"/>
        <v>2.4609329678659395</v>
      </c>
      <c r="Z206" t="str">
        <f t="shared" si="27"/>
        <v>0.599999999999915,40.2675</v>
      </c>
      <c r="AA206" t="str">
        <f t="shared" si="28"/>
        <v>0.962509141185491,41.4301235047249</v>
      </c>
      <c r="AB206" t="str">
        <f t="shared" si="29"/>
        <v>-0.361135884304517,41.6579936673326</v>
      </c>
      <c r="AC206" t="str">
        <f t="shared" si="30"/>
        <v>0.374860046390252,41.2581987944911</v>
      </c>
    </row>
    <row r="207" spans="2:29" x14ac:dyDescent="0.2">
      <c r="B207" s="3">
        <v>205</v>
      </c>
      <c r="C207" s="6">
        <v>0.59999999999991505</v>
      </c>
      <c r="D207" s="6">
        <v>39.0075</v>
      </c>
      <c r="E207" s="8">
        <v>-3.1415926535897967</v>
      </c>
      <c r="F207" s="7"/>
      <c r="G207" s="10">
        <v>0.96250914118549102</v>
      </c>
      <c r="H207" s="10">
        <v>40.170123504724899</v>
      </c>
      <c r="I207" s="10">
        <v>-3.14159265358979</v>
      </c>
      <c r="K207" s="10">
        <v>-0.41667855227178002</v>
      </c>
      <c r="L207" s="10">
        <v>40.399218464194597</v>
      </c>
      <c r="M207" s="10">
        <v>-3.1257561461806098</v>
      </c>
      <c r="N207" s="13"/>
      <c r="O207" s="10">
        <v>0.32075794222714898</v>
      </c>
      <c r="P207" s="10">
        <v>39.999360853243203</v>
      </c>
      <c r="Q207" s="10">
        <v>-3.1366270026213798</v>
      </c>
      <c r="R207" s="13"/>
      <c r="S207" s="8">
        <v>-3.1415926535897967</v>
      </c>
      <c r="T207" s="17"/>
      <c r="U207" s="13">
        <f t="shared" si="24"/>
        <v>0</v>
      </c>
      <c r="V207" s="13">
        <f t="shared" si="31"/>
        <v>3.8166656177562204E-13</v>
      </c>
      <c r="W207" s="13">
        <f t="shared" si="25"/>
        <v>0.90736503677406433</v>
      </c>
      <c r="X207" s="13">
        <f t="shared" si="26"/>
        <v>0.28451084302533469</v>
      </c>
      <c r="Z207" t="str">
        <f t="shared" si="27"/>
        <v>0.599999999999915,39.0075</v>
      </c>
      <c r="AA207" t="str">
        <f t="shared" si="28"/>
        <v>0.962509141185491,40.1701235047249</v>
      </c>
      <c r="AB207" t="str">
        <f t="shared" si="29"/>
        <v>-0.41667855227178,40.3992184641946</v>
      </c>
      <c r="AC207" t="str">
        <f t="shared" si="30"/>
        <v>0.320757942227149,39.9993608532432</v>
      </c>
    </row>
    <row r="208" spans="2:29" x14ac:dyDescent="0.2">
      <c r="B208" s="3">
        <v>206</v>
      </c>
      <c r="C208" s="6">
        <v>0.59999999999991505</v>
      </c>
      <c r="D208" s="6">
        <v>37.747500000000002</v>
      </c>
      <c r="E208" s="8">
        <v>-3.1415926535897967</v>
      </c>
      <c r="F208" s="7"/>
      <c r="G208" s="10">
        <v>0.96250914118549102</v>
      </c>
      <c r="H208" s="10">
        <v>38.910123504724901</v>
      </c>
      <c r="I208" s="10">
        <v>-3.14159265358979</v>
      </c>
      <c r="K208" s="10">
        <v>-0.436631717557382</v>
      </c>
      <c r="L208" s="10">
        <v>39.139376461721596</v>
      </c>
      <c r="M208" s="10">
        <v>-3.1018421006901402</v>
      </c>
      <c r="N208" s="13"/>
      <c r="O208" s="10">
        <v>0.31450124771962501</v>
      </c>
      <c r="P208" s="10">
        <v>38.739376387555701</v>
      </c>
      <c r="Q208" s="10">
        <v>-3.1205393327371298</v>
      </c>
      <c r="R208" s="13"/>
      <c r="S208" s="8">
        <v>-3.1415926535897967</v>
      </c>
      <c r="T208" s="17"/>
      <c r="U208" s="13">
        <f t="shared" si="24"/>
        <v>0</v>
      </c>
      <c r="V208" s="13">
        <f t="shared" si="31"/>
        <v>3.8166656177562204E-13</v>
      </c>
      <c r="W208" s="13">
        <f t="shared" si="25"/>
        <v>2.2775389144618314</v>
      </c>
      <c r="X208" s="13">
        <f t="shared" si="26"/>
        <v>1.2062664295925791</v>
      </c>
      <c r="Z208" t="str">
        <f t="shared" si="27"/>
        <v>0.599999999999915,37.7475</v>
      </c>
      <c r="AA208" t="str">
        <f t="shared" si="28"/>
        <v>0.962509141185491,38.9101235047249</v>
      </c>
      <c r="AB208" t="str">
        <f t="shared" si="29"/>
        <v>-0.436631717557382,39.1393764617216</v>
      </c>
      <c r="AC208" t="str">
        <f t="shared" si="30"/>
        <v>0.314501247719625,38.7393763875557</v>
      </c>
    </row>
    <row r="209" spans="2:29" x14ac:dyDescent="0.2">
      <c r="B209" s="3">
        <v>207</v>
      </c>
      <c r="C209" s="6">
        <v>0.59999999999991505</v>
      </c>
      <c r="D209" s="6">
        <v>36.487500000000097</v>
      </c>
      <c r="E209" s="8">
        <v>-3.1415926535897967</v>
      </c>
      <c r="F209" s="7"/>
      <c r="G209" s="10">
        <v>0.96250914118549102</v>
      </c>
      <c r="H209" s="10">
        <v>37.650123504724903</v>
      </c>
      <c r="I209" s="10">
        <v>-3.14159265358979</v>
      </c>
      <c r="K209" s="10">
        <v>-0.48670422513088801</v>
      </c>
      <c r="L209" s="10">
        <v>37.880371797716997</v>
      </c>
      <c r="M209" s="10">
        <v>-3.0903716045224501</v>
      </c>
      <c r="N209" s="13"/>
      <c r="O209" s="10">
        <v>0.28797602306361902</v>
      </c>
      <c r="P209" s="10">
        <v>37.479655619902502</v>
      </c>
      <c r="Q209" s="10">
        <v>-3.1000820401506699</v>
      </c>
      <c r="R209" s="13"/>
      <c r="S209" s="8">
        <v>-3.1415926535897967</v>
      </c>
      <c r="T209" s="17"/>
      <c r="U209" s="13">
        <f t="shared" si="24"/>
        <v>0</v>
      </c>
      <c r="V209" s="13">
        <f t="shared" si="31"/>
        <v>3.8166656177562204E-13</v>
      </c>
      <c r="W209" s="13">
        <f t="shared" si="25"/>
        <v>2.9347499337914611</v>
      </c>
      <c r="X209" s="13">
        <f t="shared" si="26"/>
        <v>2.3783829550609989</v>
      </c>
      <c r="Z209" t="str">
        <f t="shared" si="27"/>
        <v>0.599999999999915,36.4875000000001</v>
      </c>
      <c r="AA209" t="str">
        <f t="shared" si="28"/>
        <v>0.962509141185491,37.6501235047249</v>
      </c>
      <c r="AB209" t="str">
        <f t="shared" si="29"/>
        <v>-0.486704225130888,37.880371797717</v>
      </c>
      <c r="AC209" t="str">
        <f t="shared" si="30"/>
        <v>0.287976023063619,37.4796556199025</v>
      </c>
    </row>
    <row r="210" spans="2:29" x14ac:dyDescent="0.2">
      <c r="B210" s="3">
        <v>208</v>
      </c>
      <c r="C210" s="6">
        <v>0.59999999999991505</v>
      </c>
      <c r="D210" s="6">
        <v>35.227500000000099</v>
      </c>
      <c r="E210" s="8">
        <v>-3.1415926535897967</v>
      </c>
      <c r="F210" s="7"/>
      <c r="G210" s="10">
        <v>0.96250914118549102</v>
      </c>
      <c r="H210" s="10">
        <v>36.390123504724897</v>
      </c>
      <c r="I210" s="10">
        <v>-3.14159265358979</v>
      </c>
      <c r="K210" s="10">
        <v>-0.55121453015760802</v>
      </c>
      <c r="L210" s="10">
        <v>36.622024301774303</v>
      </c>
      <c r="M210" s="10">
        <v>-3.1266126225555202</v>
      </c>
      <c r="N210" s="13"/>
      <c r="O210" s="10">
        <v>0.23568766976368399</v>
      </c>
      <c r="P210" s="10">
        <v>36.220741036577103</v>
      </c>
      <c r="Q210" s="10">
        <v>-3.1409998357598399</v>
      </c>
      <c r="R210" s="13"/>
      <c r="S210" s="8">
        <v>-3.1415926535897967</v>
      </c>
      <c r="T210" s="17"/>
      <c r="U210" s="13">
        <f t="shared" si="24"/>
        <v>0</v>
      </c>
      <c r="V210" s="13">
        <f t="shared" si="31"/>
        <v>3.8166656177562204E-13</v>
      </c>
      <c r="W210" s="13">
        <f t="shared" si="25"/>
        <v>0.85829255523903547</v>
      </c>
      <c r="X210" s="13">
        <f t="shared" si="26"/>
        <v>3.3965959676628354E-2</v>
      </c>
      <c r="Z210" t="str">
        <f t="shared" si="27"/>
        <v>0.599999999999915,35.2275000000001</v>
      </c>
      <c r="AA210" t="str">
        <f t="shared" si="28"/>
        <v>0.962509141185491,36.3901235047249</v>
      </c>
      <c r="AB210" t="str">
        <f t="shared" si="29"/>
        <v>-0.551214530157608,36.6220243017743</v>
      </c>
      <c r="AC210" t="str">
        <f t="shared" si="30"/>
        <v>0.235687669763684,36.2207410365771</v>
      </c>
    </row>
    <row r="211" spans="2:29" x14ac:dyDescent="0.2">
      <c r="B211" s="3">
        <v>209</v>
      </c>
      <c r="C211" s="6">
        <v>0.59999999999991505</v>
      </c>
      <c r="D211" s="6">
        <v>33.967500000000101</v>
      </c>
      <c r="E211" s="8">
        <v>-3.1415926535897967</v>
      </c>
      <c r="F211" s="7"/>
      <c r="G211" s="10">
        <v>0.96250914118549102</v>
      </c>
      <c r="H211" s="10">
        <v>35.130123504724899</v>
      </c>
      <c r="I211" s="10">
        <v>-3.14159265358979</v>
      </c>
      <c r="K211" s="10">
        <v>-0.57008866334554498</v>
      </c>
      <c r="L211" s="10">
        <v>35.362165671968398</v>
      </c>
      <c r="M211" s="10">
        <v>-3.0172235001241599</v>
      </c>
      <c r="N211" s="13"/>
      <c r="O211" s="10">
        <v>0.234940719341692</v>
      </c>
      <c r="P211" s="10">
        <v>34.960741257979898</v>
      </c>
      <c r="Q211" s="10">
        <v>-3.0224307871704101</v>
      </c>
      <c r="R211" s="13"/>
      <c r="S211" s="8">
        <v>-3.1415926535897967</v>
      </c>
      <c r="T211" s="17"/>
      <c r="U211" s="13">
        <f t="shared" si="24"/>
        <v>0</v>
      </c>
      <c r="V211" s="13">
        <f t="shared" si="31"/>
        <v>3.8166656177562204E-13</v>
      </c>
      <c r="W211" s="13">
        <f t="shared" si="25"/>
        <v>7.1258275951958252</v>
      </c>
      <c r="X211" s="13">
        <f t="shared" si="26"/>
        <v>6.8274720247325389</v>
      </c>
      <c r="Z211" t="str">
        <f t="shared" si="27"/>
        <v>0.599999999999915,33.9675000000001</v>
      </c>
      <c r="AA211" t="str">
        <f t="shared" si="28"/>
        <v>0.962509141185491,35.1301235047249</v>
      </c>
      <c r="AB211" t="str">
        <f t="shared" si="29"/>
        <v>-0.570088663345545,35.3621656719684</v>
      </c>
      <c r="AC211" t="str">
        <f t="shared" si="30"/>
        <v>0.234940719341692,34.9607412579799</v>
      </c>
    </row>
    <row r="212" spans="2:29" x14ac:dyDescent="0.2">
      <c r="B212" s="3">
        <v>210</v>
      </c>
      <c r="C212" s="6">
        <v>0.59999999999991505</v>
      </c>
      <c r="D212" s="6">
        <v>32.707500000000103</v>
      </c>
      <c r="E212" s="8">
        <v>-3.1415926535897967</v>
      </c>
      <c r="F212" s="7"/>
      <c r="G212" s="10">
        <v>0.96250914118549102</v>
      </c>
      <c r="H212" s="10">
        <v>33.870123504724901</v>
      </c>
      <c r="I212" s="10">
        <v>-3.14159265358979</v>
      </c>
      <c r="K212" s="10">
        <v>-0.72639013138554298</v>
      </c>
      <c r="L212" s="10">
        <v>34.1118977602436</v>
      </c>
      <c r="M212" s="10">
        <v>-3.0907663902937501</v>
      </c>
      <c r="N212" s="13"/>
      <c r="O212" s="10">
        <v>8.5151844897721402E-2</v>
      </c>
      <c r="P212" s="10">
        <v>33.709676394316602</v>
      </c>
      <c r="Q212" s="10">
        <v>-3.1033516046440099</v>
      </c>
      <c r="R212" s="13"/>
      <c r="S212" s="8">
        <v>-3.1415926535897967</v>
      </c>
      <c r="T212" s="17"/>
      <c r="U212" s="13">
        <f t="shared" si="24"/>
        <v>0</v>
      </c>
      <c r="V212" s="13">
        <f t="shared" si="31"/>
        <v>3.8166656177562204E-13</v>
      </c>
      <c r="W212" s="13">
        <f t="shared" si="25"/>
        <v>2.9121303752841525</v>
      </c>
      <c r="X212" s="13">
        <f t="shared" si="26"/>
        <v>2.1910507087467854</v>
      </c>
      <c r="Z212" t="str">
        <f t="shared" si="27"/>
        <v>0.599999999999915,32.7075000000001</v>
      </c>
      <c r="AA212" t="str">
        <f t="shared" si="28"/>
        <v>0.962509141185491,33.8701235047249</v>
      </c>
      <c r="AB212" t="str">
        <f t="shared" si="29"/>
        <v>-0.726390131385543,34.1118977602436</v>
      </c>
      <c r="AC212" t="str">
        <f t="shared" si="30"/>
        <v>0.0851518448977214,33.7096763943166</v>
      </c>
    </row>
    <row r="213" spans="2:29" x14ac:dyDescent="0.2">
      <c r="B213" s="3">
        <v>211</v>
      </c>
      <c r="C213" s="6">
        <v>0.59999999999991505</v>
      </c>
      <c r="D213" s="6">
        <v>31.447500000000101</v>
      </c>
      <c r="E213" s="8">
        <v>-3.1415926535897967</v>
      </c>
      <c r="F213" s="7"/>
      <c r="G213" s="10">
        <v>0.96250914118549102</v>
      </c>
      <c r="H213" s="10">
        <v>32.610123504724903</v>
      </c>
      <c r="I213" s="10">
        <v>-3.14159265358979</v>
      </c>
      <c r="K213" s="10">
        <v>-0.79040365371126398</v>
      </c>
      <c r="L213" s="10">
        <v>32.853524894611397</v>
      </c>
      <c r="M213" s="10">
        <v>-3.05794437850526</v>
      </c>
      <c r="N213" s="13"/>
      <c r="O213" s="10">
        <v>3.6979866168383398E-2</v>
      </c>
      <c r="P213" s="10">
        <v>32.450597580077698</v>
      </c>
      <c r="Q213" s="10">
        <v>-3.0612869318566198</v>
      </c>
      <c r="R213" s="13"/>
      <c r="S213" s="8">
        <v>-3.1415926535897967</v>
      </c>
      <c r="T213" s="17"/>
      <c r="U213" s="13">
        <f t="shared" si="24"/>
        <v>0</v>
      </c>
      <c r="V213" s="13">
        <f t="shared" si="31"/>
        <v>3.8166656177562204E-13</v>
      </c>
      <c r="W213" s="13">
        <f t="shared" si="25"/>
        <v>4.7926931258932699</v>
      </c>
      <c r="X213" s="13">
        <f t="shared" si="26"/>
        <v>4.601178926063044</v>
      </c>
      <c r="Z213" t="str">
        <f t="shared" si="27"/>
        <v>0.599999999999915,31.4475000000001</v>
      </c>
      <c r="AA213" t="str">
        <f t="shared" si="28"/>
        <v>0.962509141185491,32.6101235047249</v>
      </c>
      <c r="AB213" t="str">
        <f t="shared" si="29"/>
        <v>-0.790403653711264,32.8535248946114</v>
      </c>
      <c r="AC213" t="str">
        <f t="shared" si="30"/>
        <v>0.0369798661683834,32.4505975800777</v>
      </c>
    </row>
    <row r="214" spans="2:29" x14ac:dyDescent="0.2">
      <c r="B214" s="3">
        <v>212</v>
      </c>
      <c r="C214" s="6">
        <v>0.59999999999991405</v>
      </c>
      <c r="D214" s="6">
        <v>30.187500000000099</v>
      </c>
      <c r="E214" s="8">
        <v>-3.1415926535897967</v>
      </c>
      <c r="F214" s="7"/>
      <c r="G214" s="10">
        <v>0.96250914118549102</v>
      </c>
      <c r="H214" s="10">
        <v>31.350123504724898</v>
      </c>
      <c r="I214" s="10">
        <v>-3.14159265358979</v>
      </c>
      <c r="K214" s="10">
        <v>-0.895677612449298</v>
      </c>
      <c r="L214" s="10">
        <v>31.597930456262901</v>
      </c>
      <c r="M214" s="10">
        <v>-3.0323303822854499</v>
      </c>
      <c r="N214" s="13"/>
      <c r="O214" s="10">
        <v>-6.4096620892199793E-2</v>
      </c>
      <c r="P214" s="10">
        <v>31.194658272721099</v>
      </c>
      <c r="Q214" s="10">
        <v>-3.0329138465660099</v>
      </c>
      <c r="R214" s="13"/>
      <c r="S214" s="8">
        <v>-3.1415926535897967</v>
      </c>
      <c r="T214" s="17"/>
      <c r="U214" s="13">
        <f t="shared" si="24"/>
        <v>0</v>
      </c>
      <c r="V214" s="13">
        <f t="shared" si="31"/>
        <v>3.8166656177562204E-13</v>
      </c>
      <c r="W214" s="13">
        <f t="shared" si="25"/>
        <v>6.260267005752433</v>
      </c>
      <c r="X214" s="13">
        <f t="shared" si="26"/>
        <v>6.2268369649797073</v>
      </c>
      <c r="Z214" t="str">
        <f t="shared" si="27"/>
        <v>0.599999999999914,30.1875000000001</v>
      </c>
      <c r="AA214" t="str">
        <f t="shared" si="28"/>
        <v>0.962509141185491,31.3501235047249</v>
      </c>
      <c r="AB214" t="str">
        <f t="shared" si="29"/>
        <v>-0.895677612449298,31.5979304562629</v>
      </c>
      <c r="AC214" t="str">
        <f t="shared" si="30"/>
        <v>-0.0640966208921998,31.1946582727211</v>
      </c>
    </row>
    <row r="215" spans="2:29" x14ac:dyDescent="0.2">
      <c r="B215" s="3">
        <v>213</v>
      </c>
      <c r="C215" s="6">
        <v>0.59999999999991405</v>
      </c>
      <c r="D215" s="6">
        <v>28.927499999999998</v>
      </c>
      <c r="E215" s="8">
        <v>-3.1415926535897967</v>
      </c>
      <c r="F215" s="7"/>
      <c r="G215" s="10">
        <v>0.96250914118549202</v>
      </c>
      <c r="H215" s="10">
        <v>30.0901235047249</v>
      </c>
      <c r="I215" s="10">
        <v>-3.14159265358979</v>
      </c>
      <c r="K215" s="10">
        <v>-1.03307431382891</v>
      </c>
      <c r="L215" s="10">
        <v>30.3454440705286</v>
      </c>
      <c r="M215" s="10">
        <v>-3.1136934720560898</v>
      </c>
      <c r="N215" s="13"/>
      <c r="O215" s="10">
        <v>-0.20076251785829999</v>
      </c>
      <c r="P215" s="10">
        <v>29.942091934116</v>
      </c>
      <c r="Q215" s="10">
        <v>-3.1289505191525899</v>
      </c>
      <c r="R215" s="13"/>
      <c r="S215" s="8">
        <v>-3.1415926535897967</v>
      </c>
      <c r="T215" s="17"/>
      <c r="U215" s="13">
        <f t="shared" si="24"/>
        <v>0</v>
      </c>
      <c r="V215" s="13">
        <f t="shared" si="31"/>
        <v>3.8166656177562204E-13</v>
      </c>
      <c r="W215" s="13">
        <f t="shared" si="25"/>
        <v>1.5985053537507257</v>
      </c>
      <c r="X215" s="13">
        <f t="shared" si="26"/>
        <v>0.7243409472889426</v>
      </c>
      <c r="Z215" t="str">
        <f t="shared" si="27"/>
        <v>0.599999999999914,28.9275</v>
      </c>
      <c r="AA215" t="str">
        <f t="shared" si="28"/>
        <v>0.962509141185492,30.0901235047249</v>
      </c>
      <c r="AB215" t="str">
        <f t="shared" si="29"/>
        <v>-1.03307431382891,30.3454440705286</v>
      </c>
      <c r="AC215" t="str">
        <f t="shared" si="30"/>
        <v>-0.2007625178583,29.942091934116</v>
      </c>
    </row>
    <row r="216" spans="2:29" x14ac:dyDescent="0.2">
      <c r="B216" s="3">
        <v>214</v>
      </c>
      <c r="C216" s="6">
        <v>0.59999999999991405</v>
      </c>
      <c r="D216" s="6">
        <v>27.6675</v>
      </c>
      <c r="E216" s="8">
        <v>-3.1415926535897967</v>
      </c>
      <c r="F216" s="7"/>
      <c r="G216" s="10">
        <v>0.96250914118549202</v>
      </c>
      <c r="H216" s="10">
        <v>28.830123504724899</v>
      </c>
      <c r="I216" s="10">
        <v>-3.14159265358979</v>
      </c>
      <c r="K216" s="10">
        <v>-1.0682227224360199</v>
      </c>
      <c r="L216" s="10">
        <v>29.085934408250299</v>
      </c>
      <c r="M216" s="10">
        <v>-3.0899592929448398</v>
      </c>
      <c r="N216" s="13"/>
      <c r="O216" s="10">
        <v>-0.21669118294525799</v>
      </c>
      <c r="P216" s="10">
        <v>28.682192621619802</v>
      </c>
      <c r="Q216" s="10">
        <v>-3.09477906213555</v>
      </c>
      <c r="R216" s="13"/>
      <c r="S216" s="8">
        <v>-3.1415926535897967</v>
      </c>
      <c r="T216" s="17"/>
      <c r="U216" s="13">
        <f t="shared" si="24"/>
        <v>0</v>
      </c>
      <c r="V216" s="13">
        <f t="shared" si="31"/>
        <v>3.8166656177562204E-13</v>
      </c>
      <c r="W216" s="13">
        <f t="shared" si="25"/>
        <v>2.9583736470329085</v>
      </c>
      <c r="X216" s="13">
        <f t="shared" si="26"/>
        <v>2.6822212141780328</v>
      </c>
      <c r="Z216" t="str">
        <f t="shared" si="27"/>
        <v>0.599999999999914,27.6675</v>
      </c>
      <c r="AA216" t="str">
        <f t="shared" si="28"/>
        <v>0.962509141185492,28.8301235047249</v>
      </c>
      <c r="AB216" t="str">
        <f t="shared" si="29"/>
        <v>-1.06822272243602,29.0859344082503</v>
      </c>
      <c r="AC216" t="str">
        <f t="shared" si="30"/>
        <v>-0.216691182945258,28.6821926216198</v>
      </c>
    </row>
    <row r="217" spans="2:29" x14ac:dyDescent="0.2">
      <c r="B217" s="3">
        <v>215</v>
      </c>
      <c r="C217" s="6">
        <v>0.59999999999991405</v>
      </c>
      <c r="D217" s="6">
        <v>26.407499999999999</v>
      </c>
      <c r="E217" s="8">
        <v>-3.1415926535897967</v>
      </c>
      <c r="F217" s="7"/>
      <c r="G217" s="10">
        <v>0.96250914118549202</v>
      </c>
      <c r="H217" s="10">
        <v>27.570123504724901</v>
      </c>
      <c r="I217" s="10">
        <v>-3.14159265358979</v>
      </c>
      <c r="K217" s="10">
        <v>-1.13325185320587</v>
      </c>
      <c r="L217" s="10">
        <v>27.827613617612499</v>
      </c>
      <c r="M217" s="10">
        <v>-3.0482613410184798</v>
      </c>
      <c r="N217" s="13"/>
      <c r="O217" s="10">
        <v>-0.27565476609987899</v>
      </c>
      <c r="P217" s="10">
        <v>27.423573022272301</v>
      </c>
      <c r="Q217" s="10">
        <v>-3.0500639146181001</v>
      </c>
      <c r="R217" s="13"/>
      <c r="S217" s="8">
        <v>-3.1415926535897967</v>
      </c>
      <c r="T217" s="17"/>
      <c r="U217" s="13">
        <f t="shared" si="24"/>
        <v>0</v>
      </c>
      <c r="V217" s="13">
        <f t="shared" si="31"/>
        <v>3.8166656177562204E-13</v>
      </c>
      <c r="W217" s="13">
        <f t="shared" si="25"/>
        <v>5.3474903067527411</v>
      </c>
      <c r="X217" s="13">
        <f t="shared" si="26"/>
        <v>5.2442104472327911</v>
      </c>
      <c r="Z217" t="str">
        <f t="shared" si="27"/>
        <v>0.599999999999914,26.4075</v>
      </c>
      <c r="AA217" t="str">
        <f t="shared" si="28"/>
        <v>0.962509141185492,27.5701235047249</v>
      </c>
      <c r="AB217" t="str">
        <f t="shared" si="29"/>
        <v>-1.13325185320587,27.8276136176125</v>
      </c>
      <c r="AC217" t="str">
        <f t="shared" si="30"/>
        <v>-0.275654766099879,27.4235730222723</v>
      </c>
    </row>
    <row r="218" spans="2:29" x14ac:dyDescent="0.2">
      <c r="B218" s="3">
        <v>216</v>
      </c>
      <c r="C218" s="6">
        <v>0.59999999999991405</v>
      </c>
      <c r="D218" s="6">
        <v>25.147500000000001</v>
      </c>
      <c r="E218" s="8">
        <v>-3.1415926535897967</v>
      </c>
      <c r="F218" s="7"/>
      <c r="G218" s="10">
        <v>0.96250914118549202</v>
      </c>
      <c r="H218" s="10">
        <v>26.310123504724899</v>
      </c>
      <c r="I218" s="10">
        <v>-3.14159265358979</v>
      </c>
      <c r="K218" s="10">
        <v>-1.25067865469997</v>
      </c>
      <c r="L218" s="10">
        <v>26.573097397593401</v>
      </c>
      <c r="M218" s="10">
        <v>-3.0454001745818902</v>
      </c>
      <c r="N218" s="13"/>
      <c r="O218" s="10">
        <v>-0.39082002022436402</v>
      </c>
      <c r="P218" s="10">
        <v>26.168847170046998</v>
      </c>
      <c r="Q218" s="10">
        <v>-3.0592480086765299</v>
      </c>
      <c r="R218" s="13"/>
      <c r="S218" s="8">
        <v>-3.1415926535897967</v>
      </c>
      <c r="T218" s="17"/>
      <c r="U218" s="13">
        <f t="shared" si="24"/>
        <v>0</v>
      </c>
      <c r="V218" s="13">
        <f t="shared" si="31"/>
        <v>3.8166656177562204E-13</v>
      </c>
      <c r="W218" s="13">
        <f t="shared" si="25"/>
        <v>5.5114230680538112</v>
      </c>
      <c r="X218" s="13">
        <f t="shared" si="26"/>
        <v>4.7180006190335879</v>
      </c>
      <c r="Z218" t="str">
        <f t="shared" si="27"/>
        <v>0.599999999999914,25.1475</v>
      </c>
      <c r="AA218" t="str">
        <f t="shared" si="28"/>
        <v>0.962509141185492,26.3101235047249</v>
      </c>
      <c r="AB218" t="str">
        <f t="shared" si="29"/>
        <v>-1.25067865469997,26.5730973975934</v>
      </c>
      <c r="AC218" t="str">
        <f t="shared" si="30"/>
        <v>-0.390820020224364,26.168847170047</v>
      </c>
    </row>
    <row r="219" spans="2:29" x14ac:dyDescent="0.2">
      <c r="B219" s="3">
        <v>217</v>
      </c>
      <c r="C219" s="6">
        <v>0.59999999999991405</v>
      </c>
      <c r="D219" s="6">
        <v>23.887499999999999</v>
      </c>
      <c r="E219" s="8">
        <v>-3.1415926535897967</v>
      </c>
      <c r="F219" s="7"/>
      <c r="G219" s="10">
        <v>0.96250914118549202</v>
      </c>
      <c r="H219" s="10">
        <v>25.050123504724901</v>
      </c>
      <c r="I219" s="10">
        <v>-3.14159265358979</v>
      </c>
      <c r="K219" s="10">
        <v>-1.3716943503560499</v>
      </c>
      <c r="L219" s="10">
        <v>25.318922289642</v>
      </c>
      <c r="M219" s="10">
        <v>-3.0077902360609401</v>
      </c>
      <c r="N219" s="13"/>
      <c r="O219" s="10">
        <v>-0.49445705917932298</v>
      </c>
      <c r="P219" s="10">
        <v>24.9131165603394</v>
      </c>
      <c r="Q219" s="10">
        <v>-3.01271654411324</v>
      </c>
      <c r="R219" s="13"/>
      <c r="S219" s="8">
        <v>-3.1415926535897967</v>
      </c>
      <c r="T219" s="17"/>
      <c r="U219" s="13">
        <f t="shared" si="24"/>
        <v>0</v>
      </c>
      <c r="V219" s="13">
        <f t="shared" si="31"/>
        <v>3.8166656177562204E-13</v>
      </c>
      <c r="W219" s="13">
        <f t="shared" si="25"/>
        <v>7.6663138130507482</v>
      </c>
      <c r="X219" s="13">
        <f t="shared" si="26"/>
        <v>7.3840571530726518</v>
      </c>
      <c r="Z219" t="str">
        <f t="shared" si="27"/>
        <v>0.599999999999914,23.8875</v>
      </c>
      <c r="AA219" t="str">
        <f t="shared" si="28"/>
        <v>0.962509141185492,25.0501235047249</v>
      </c>
      <c r="AB219" t="str">
        <f t="shared" si="29"/>
        <v>-1.37169435035605,25.318922289642</v>
      </c>
      <c r="AC219" t="str">
        <f t="shared" si="30"/>
        <v>-0.494457059179323,24.9131165603394</v>
      </c>
    </row>
    <row r="220" spans="2:29" x14ac:dyDescent="0.2">
      <c r="B220" s="3">
        <v>218</v>
      </c>
      <c r="C220" s="6">
        <v>0.59999999999991405</v>
      </c>
      <c r="D220" s="6">
        <v>22.627500000000001</v>
      </c>
      <c r="E220" s="8">
        <v>-3.1415926535897967</v>
      </c>
      <c r="F220" s="7"/>
      <c r="G220" s="10">
        <v>0.96250914118549202</v>
      </c>
      <c r="H220" s="10">
        <v>23.7901235047249</v>
      </c>
      <c r="I220" s="10">
        <v>-3.14159265358979</v>
      </c>
      <c r="K220" s="10">
        <v>-1.53978279653211</v>
      </c>
      <c r="L220" s="10">
        <v>24.0701844171235</v>
      </c>
      <c r="M220" s="10">
        <v>3.1289940512685201</v>
      </c>
      <c r="N220" s="13"/>
      <c r="O220" s="10">
        <v>-0.65639182317669498</v>
      </c>
      <c r="P220" s="10">
        <v>23.663565788178001</v>
      </c>
      <c r="Q220" s="10">
        <v>3.1263039396759198</v>
      </c>
      <c r="R220" s="13"/>
      <c r="S220" s="8">
        <v>-3.1415926535897967</v>
      </c>
      <c r="T220" s="17"/>
      <c r="U220" s="13">
        <f t="shared" si="24"/>
        <v>0</v>
      </c>
      <c r="V220" s="13">
        <f t="shared" si="31"/>
        <v>3.8166656177562204E-13</v>
      </c>
      <c r="W220" s="13">
        <f>360-(M220-S220)*180/PI()</f>
        <v>0.72184674077243471</v>
      </c>
      <c r="X220" s="13">
        <f>360-(Q220-S220)*180/PI()</f>
        <v>0.87597878144771357</v>
      </c>
      <c r="Z220" t="str">
        <f t="shared" si="27"/>
        <v>0.599999999999914,22.6275</v>
      </c>
      <c r="AA220" t="str">
        <f t="shared" si="28"/>
        <v>0.962509141185492,23.7901235047249</v>
      </c>
      <c r="AB220" t="str">
        <f t="shared" si="29"/>
        <v>-1.53978279653211,24.0701844171235</v>
      </c>
      <c r="AC220" t="str">
        <f t="shared" si="30"/>
        <v>-0.656391823176695,23.663565788178</v>
      </c>
    </row>
    <row r="221" spans="2:29" x14ac:dyDescent="0.2">
      <c r="B221" s="3">
        <v>219</v>
      </c>
      <c r="C221" s="6">
        <v>0.59999999999991405</v>
      </c>
      <c r="D221" s="6">
        <v>21.3675</v>
      </c>
      <c r="E221" s="8">
        <v>-3.1415926535897967</v>
      </c>
      <c r="F221" s="7"/>
      <c r="G221" s="10">
        <v>0.96250914118549202</v>
      </c>
      <c r="H221" s="10">
        <v>22.530123504724902</v>
      </c>
      <c r="I221" s="10">
        <v>3.1289940512685201</v>
      </c>
      <c r="K221" s="10">
        <v>-1.52390897754315</v>
      </c>
      <c r="L221" s="10">
        <v>22.8102844124125</v>
      </c>
      <c r="M221" s="10">
        <v>-3.0425390284118898</v>
      </c>
      <c r="N221" s="13"/>
      <c r="O221" s="10">
        <v>-0.63712879410440804</v>
      </c>
      <c r="P221" s="10">
        <v>22.403713044516699</v>
      </c>
      <c r="Q221" s="10">
        <v>-3.0680927739649801</v>
      </c>
      <c r="R221" s="13"/>
      <c r="S221" s="8">
        <v>-3.1415926535897967</v>
      </c>
      <c r="T221" s="17"/>
      <c r="U221" s="13">
        <f t="shared" si="24"/>
        <v>0</v>
      </c>
      <c r="V221" s="13">
        <f>360-(I221-S221)*180/PI()</f>
        <v>0.72184674077243471</v>
      </c>
      <c r="W221" s="13">
        <f t="shared" si="25"/>
        <v>5.6753546681648501</v>
      </c>
      <c r="X221" s="13">
        <f t="shared" si="26"/>
        <v>4.2112328972215796</v>
      </c>
      <c r="Z221" t="str">
        <f t="shared" si="27"/>
        <v>0.599999999999914,21.3675</v>
      </c>
      <c r="AA221" t="str">
        <f t="shared" si="28"/>
        <v>0.962509141185492,22.5301235047249</v>
      </c>
      <c r="AB221" t="str">
        <f t="shared" si="29"/>
        <v>-1.52390897754315,22.8102844124125</v>
      </c>
      <c r="AC221" t="str">
        <f t="shared" si="30"/>
        <v>-0.637128794104408,22.4037130445167</v>
      </c>
    </row>
    <row r="222" spans="2:29" x14ac:dyDescent="0.2">
      <c r="B222" s="3">
        <v>220</v>
      </c>
      <c r="C222" s="6">
        <v>0.59999999999991405</v>
      </c>
      <c r="D222" s="6">
        <v>20.107500000000002</v>
      </c>
      <c r="E222" s="8">
        <v>-3.1415926535897967</v>
      </c>
      <c r="F222" s="7"/>
      <c r="G222" s="10">
        <v>0.97838296017445403</v>
      </c>
      <c r="H222" s="10">
        <v>21.270223500013898</v>
      </c>
      <c r="I222" s="10">
        <v>-3.14159265358979</v>
      </c>
      <c r="K222" s="10">
        <v>-1.6485125512835801</v>
      </c>
      <c r="L222" s="10">
        <v>21.556460681016802</v>
      </c>
      <c r="M222" s="10">
        <v>-3.0516857525230501</v>
      </c>
      <c r="N222" s="13"/>
      <c r="O222" s="10">
        <v>-0.72965528163251103</v>
      </c>
      <c r="P222" s="10">
        <v>21.147114918978701</v>
      </c>
      <c r="Q222" s="10">
        <v>-3.0624885548896801</v>
      </c>
      <c r="R222" s="13"/>
      <c r="S222" s="8">
        <v>-3.1415926535897967</v>
      </c>
      <c r="T222" s="17"/>
      <c r="U222" s="13">
        <f t="shared" si="24"/>
        <v>0</v>
      </c>
      <c r="V222" s="13">
        <f t="shared" si="31"/>
        <v>3.8166656177562204E-13</v>
      </c>
      <c r="W222" s="13">
        <f t="shared" si="25"/>
        <v>5.1512859802248183</v>
      </c>
      <c r="X222" s="13">
        <f t="shared" si="26"/>
        <v>4.5323309977029824</v>
      </c>
      <c r="Z222" t="str">
        <f t="shared" si="27"/>
        <v>0.599999999999914,20.1075</v>
      </c>
      <c r="AA222" t="str">
        <f t="shared" si="28"/>
        <v>0.978382960174454,21.2702235000139</v>
      </c>
      <c r="AB222" t="str">
        <f t="shared" si="29"/>
        <v>-1.64851255128358,21.5564606810168</v>
      </c>
      <c r="AC222" t="str">
        <f t="shared" si="30"/>
        <v>-0.729655281632511,21.1471149189787</v>
      </c>
    </row>
    <row r="223" spans="2:29" x14ac:dyDescent="0.2">
      <c r="B223" s="3">
        <v>221</v>
      </c>
      <c r="C223" s="6">
        <v>0.59999999999991305</v>
      </c>
      <c r="D223" s="6">
        <v>18.8475</v>
      </c>
      <c r="E223" s="8">
        <v>-3.1415926535897967</v>
      </c>
      <c r="F223" s="7"/>
      <c r="G223" s="10">
        <v>0.97838296017445403</v>
      </c>
      <c r="H223" s="10">
        <v>20.0102235000139</v>
      </c>
      <c r="I223" s="10">
        <v>-3.14159265358979</v>
      </c>
      <c r="K223" s="10">
        <v>-1.7616426928898301</v>
      </c>
      <c r="L223" s="10">
        <v>20.301549699687801</v>
      </c>
      <c r="M223" s="10">
        <v>-3.0133801083423699</v>
      </c>
      <c r="N223" s="13"/>
      <c r="O223" s="10">
        <v>-0.82922253048436401</v>
      </c>
      <c r="P223" s="10">
        <v>19.8910550625403</v>
      </c>
      <c r="Q223" s="10">
        <v>-3.0183395090122498</v>
      </c>
      <c r="R223" s="13"/>
      <c r="S223" s="8">
        <v>-3.1415926535897967</v>
      </c>
      <c r="T223" s="17"/>
      <c r="U223" s="13">
        <f t="shared" si="24"/>
        <v>0</v>
      </c>
      <c r="V223" s="13">
        <f t="shared" si="31"/>
        <v>3.8166656177562204E-13</v>
      </c>
      <c r="W223" s="13">
        <f t="shared" si="25"/>
        <v>7.3460377233076546</v>
      </c>
      <c r="X223" s="13">
        <f t="shared" si="26"/>
        <v>7.0618849960091836</v>
      </c>
      <c r="Z223" t="str">
        <f t="shared" si="27"/>
        <v>0.599999999999913,18.8475</v>
      </c>
      <c r="AA223" t="str">
        <f t="shared" si="28"/>
        <v>0.978382960174454,20.0102235000139</v>
      </c>
      <c r="AB223" t="str">
        <f t="shared" si="29"/>
        <v>-1.76164269288983,20.3015496996878</v>
      </c>
      <c r="AC223" t="str">
        <f t="shared" si="30"/>
        <v>-0.829222530484364,19.8910550625403</v>
      </c>
    </row>
    <row r="224" spans="2:29" x14ac:dyDescent="0.2">
      <c r="B224" s="3">
        <v>222</v>
      </c>
      <c r="C224" s="6">
        <v>0.59999999999991305</v>
      </c>
      <c r="D224" s="6">
        <v>17.587499999999999</v>
      </c>
      <c r="E224" s="8">
        <v>-3.1415926535897967</v>
      </c>
      <c r="F224" s="7"/>
      <c r="G224" s="10">
        <v>0.97838296017445403</v>
      </c>
      <c r="H224" s="10">
        <v>18.750223500013899</v>
      </c>
      <c r="I224" s="10">
        <v>-3.14159265358979</v>
      </c>
      <c r="K224" s="10">
        <v>-1.9227482641018201</v>
      </c>
      <c r="L224" s="10">
        <v>19.051891748517001</v>
      </c>
      <c r="M224" s="10">
        <v>-3.0923948160539299</v>
      </c>
      <c r="N224" s="13"/>
      <c r="O224" s="10">
        <v>-0.98412859137717701</v>
      </c>
      <c r="P224" s="10">
        <v>18.640613495613302</v>
      </c>
      <c r="Q224" s="10">
        <v>-3.1000028523942298</v>
      </c>
      <c r="R224" s="13"/>
      <c r="S224" s="8">
        <v>-3.1415926535897967</v>
      </c>
      <c r="T224" s="17"/>
      <c r="U224" s="13">
        <f t="shared" si="24"/>
        <v>0</v>
      </c>
      <c r="V224" s="13">
        <f t="shared" si="31"/>
        <v>3.8166656177562204E-13</v>
      </c>
      <c r="W224" s="13">
        <f t="shared" si="25"/>
        <v>2.8188284519754707</v>
      </c>
      <c r="X224" s="13">
        <f t="shared" si="26"/>
        <v>2.3829200792941276</v>
      </c>
      <c r="Z224" t="str">
        <f t="shared" si="27"/>
        <v>0.599999999999913,17.5875</v>
      </c>
      <c r="AA224" t="str">
        <f t="shared" si="28"/>
        <v>0.978382960174454,18.7502235000139</v>
      </c>
      <c r="AB224" t="str">
        <f t="shared" si="29"/>
        <v>-1.92274826410182,19.051891748517</v>
      </c>
      <c r="AC224" t="str">
        <f t="shared" si="30"/>
        <v>-0.984128591377177,18.6406134956133</v>
      </c>
    </row>
    <row r="225" spans="2:29" x14ac:dyDescent="0.2">
      <c r="B225" s="3">
        <v>223</v>
      </c>
      <c r="C225" s="6">
        <v>0.59999999999991305</v>
      </c>
      <c r="D225" s="6">
        <v>16.327500000000001</v>
      </c>
      <c r="E225" s="8">
        <v>-3.1415926535897967</v>
      </c>
      <c r="F225" s="7"/>
      <c r="G225" s="10">
        <v>0.97838296017445403</v>
      </c>
      <c r="H225" s="10">
        <v>17.490223500013901</v>
      </c>
      <c r="I225" s="10">
        <v>-3.14159265358979</v>
      </c>
      <c r="K225" s="10">
        <v>-1.98471253566832</v>
      </c>
      <c r="L225" s="10">
        <v>17.793416310119699</v>
      </c>
      <c r="M225" s="10">
        <v>-3.0738198651841899</v>
      </c>
      <c r="N225" s="13"/>
      <c r="O225" s="10">
        <v>-1.0365166351344599</v>
      </c>
      <c r="P225" s="10">
        <v>17.381703056832499</v>
      </c>
      <c r="Q225" s="10">
        <v>-3.0785985614718498</v>
      </c>
      <c r="R225" s="13"/>
      <c r="S225" s="8">
        <v>-3.1415926535897967</v>
      </c>
      <c r="T225" s="17"/>
      <c r="U225" s="13">
        <f t="shared" si="24"/>
        <v>0</v>
      </c>
      <c r="V225" s="13">
        <f t="shared" si="31"/>
        <v>3.8166656177562204E-13</v>
      </c>
      <c r="W225" s="13">
        <f t="shared" si="25"/>
        <v>3.8830947414744261</v>
      </c>
      <c r="X225" s="13">
        <f t="shared" si="26"/>
        <v>3.6092956126166782</v>
      </c>
      <c r="Z225" t="str">
        <f t="shared" si="27"/>
        <v>0.599999999999913,16.3275</v>
      </c>
      <c r="AA225" t="str">
        <f t="shared" si="28"/>
        <v>0.978382960174454,17.4902235000139</v>
      </c>
      <c r="AB225" t="str">
        <f t="shared" si="29"/>
        <v>-1.98471253566832,17.7934163101197</v>
      </c>
      <c r="AC225" t="str">
        <f t="shared" si="30"/>
        <v>-1.03651663513446,17.3817030568325</v>
      </c>
    </row>
    <row r="226" spans="2:29" x14ac:dyDescent="0.2">
      <c r="B226" s="3">
        <v>224</v>
      </c>
      <c r="C226" s="6">
        <v>0.59999999999991305</v>
      </c>
      <c r="D226" s="6">
        <v>15.067500000000001</v>
      </c>
      <c r="E226" s="8">
        <v>-3.1415926535897967</v>
      </c>
      <c r="F226" s="7"/>
      <c r="G226" s="10">
        <v>0.97838296017445403</v>
      </c>
      <c r="H226" s="10">
        <v>16.230223500013899</v>
      </c>
      <c r="I226" s="10">
        <v>-3.14159265358979</v>
      </c>
      <c r="K226" s="10">
        <v>-2.07004089303617</v>
      </c>
      <c r="L226" s="10">
        <v>16.536308887729302</v>
      </c>
      <c r="M226" s="10">
        <v>3.1184156349792298</v>
      </c>
      <c r="N226" s="13"/>
      <c r="O226" s="10">
        <v>-1.1158367065188799</v>
      </c>
      <c r="P226" s="10">
        <v>16.124202231275898</v>
      </c>
      <c r="Q226" s="10">
        <v>3.10910547704104</v>
      </c>
      <c r="R226" s="13"/>
      <c r="S226" s="8">
        <v>-3.1415926535897967</v>
      </c>
      <c r="T226" s="17"/>
      <c r="U226" s="13">
        <f t="shared" si="24"/>
        <v>0</v>
      </c>
      <c r="V226" s="13">
        <f t="shared" si="31"/>
        <v>3.8166656177562204E-13</v>
      </c>
      <c r="W226" s="13">
        <f>360-(M226-S226)*180/PI()</f>
        <v>1.3279453480812435</v>
      </c>
      <c r="X226" s="13">
        <f>360-(Q226-S226)*180/PI()</f>
        <v>1.8613781045397673</v>
      </c>
      <c r="Z226" t="str">
        <f t="shared" si="27"/>
        <v>0.599999999999913,15.0675</v>
      </c>
      <c r="AA226" t="str">
        <f t="shared" si="28"/>
        <v>0.978382960174454,16.2302235000139</v>
      </c>
      <c r="AB226" t="str">
        <f t="shared" si="29"/>
        <v>-2.07004089303617,16.5363088877293</v>
      </c>
      <c r="AC226" t="str">
        <f t="shared" si="30"/>
        <v>-1.11583670651888,16.1242022312759</v>
      </c>
    </row>
    <row r="227" spans="2:29" x14ac:dyDescent="0.2">
      <c r="B227" s="3">
        <v>225</v>
      </c>
      <c r="C227" s="6">
        <v>0.59999999999991305</v>
      </c>
      <c r="D227" s="6">
        <v>13.807499999999999</v>
      </c>
      <c r="E227" s="8">
        <v>-3.1415926535897967</v>
      </c>
      <c r="F227" s="7"/>
      <c r="G227" s="10">
        <v>0.97838296017445403</v>
      </c>
      <c r="H227" s="10">
        <v>14.970223500013899</v>
      </c>
      <c r="I227" s="10">
        <v>3.1184156349792298</v>
      </c>
      <c r="K227" s="10">
        <v>-2.0408404640368398</v>
      </c>
      <c r="L227" s="10">
        <v>15.276647292321201</v>
      </c>
      <c r="M227" s="10">
        <v>3.1194171695269199</v>
      </c>
      <c r="N227" s="13"/>
      <c r="O227" s="10">
        <v>-1.0749100640639</v>
      </c>
      <c r="P227" s="10">
        <v>14.864867085281301</v>
      </c>
      <c r="Q227" s="10">
        <v>3.1222558440445698</v>
      </c>
      <c r="R227" s="13"/>
      <c r="S227" s="8">
        <v>-3.1415926535897967</v>
      </c>
      <c r="T227" s="17"/>
      <c r="U227" s="13">
        <f t="shared" si="24"/>
        <v>0</v>
      </c>
      <c r="V227" s="13">
        <f>360-(I227-S227)*180/PI()</f>
        <v>1.3279453480812435</v>
      </c>
      <c r="W227" s="13">
        <f>360-(M227-S227)*180/PI()</f>
        <v>1.2705616454620099</v>
      </c>
      <c r="X227" s="13">
        <f>360-(Q227-S227)*180/PI()</f>
        <v>1.1079175761893225</v>
      </c>
      <c r="Z227" t="str">
        <f t="shared" si="27"/>
        <v>0.599999999999913,13.8075</v>
      </c>
      <c r="AA227" t="str">
        <f t="shared" si="28"/>
        <v>0.978382960174454,14.9702235000139</v>
      </c>
      <c r="AB227" t="str">
        <f t="shared" si="29"/>
        <v>-2.04084046403684,15.2766472923212</v>
      </c>
      <c r="AC227" t="str">
        <f t="shared" si="30"/>
        <v>-1.0749100640639,14.8648670852813</v>
      </c>
    </row>
    <row r="228" spans="2:29" x14ac:dyDescent="0.2">
      <c r="B228" s="3">
        <v>226</v>
      </c>
      <c r="C228" s="6">
        <v>0.59999999999991305</v>
      </c>
      <c r="D228" s="6">
        <v>12.547499999999999</v>
      </c>
      <c r="E228" s="8">
        <v>-3.1415926535897967</v>
      </c>
      <c r="F228" s="7"/>
      <c r="G228" s="10">
        <v>1.00758338917378</v>
      </c>
      <c r="H228" s="10">
        <v>13.7105619046058</v>
      </c>
      <c r="I228" s="10">
        <v>3.1194171695269199</v>
      </c>
      <c r="K228" s="10">
        <v>-2.01290164407787</v>
      </c>
      <c r="L228" s="10">
        <v>14.0169570834447</v>
      </c>
      <c r="M228" s="10">
        <v>-3.08729463344838</v>
      </c>
      <c r="N228" s="13"/>
      <c r="O228" s="10">
        <v>-1.05054720236504</v>
      </c>
      <c r="P228" s="10">
        <v>13.605102642629401</v>
      </c>
      <c r="Q228" s="10">
        <v>-3.0945888731064302</v>
      </c>
      <c r="R228" s="13"/>
      <c r="S228" s="8">
        <v>-3.1415926535897967</v>
      </c>
      <c r="T228" s="17"/>
      <c r="U228" s="13">
        <f t="shared" si="24"/>
        <v>0</v>
      </c>
      <c r="V228" s="13">
        <f>360-(I228-S228)*180/PI()</f>
        <v>1.2705616454620099</v>
      </c>
      <c r="W228" s="13">
        <f t="shared" si="25"/>
        <v>3.111047390019515</v>
      </c>
      <c r="X228" s="13">
        <f t="shared" si="26"/>
        <v>2.6931182428562894</v>
      </c>
      <c r="Z228" t="str">
        <f t="shared" si="27"/>
        <v>0.599999999999913,12.5475</v>
      </c>
      <c r="AA228" t="str">
        <f t="shared" si="28"/>
        <v>1.00758338917378,13.7105619046058</v>
      </c>
      <c r="AB228" t="str">
        <f t="shared" si="29"/>
        <v>-2.01290164407787,14.0169570834447</v>
      </c>
      <c r="AC228" t="str">
        <f t="shared" si="30"/>
        <v>-1.05054720236504,13.6051026426294</v>
      </c>
    </row>
    <row r="229" spans="2:29" x14ac:dyDescent="0.2">
      <c r="B229" s="3">
        <v>227</v>
      </c>
      <c r="C229" s="6">
        <v>0.59999999999991305</v>
      </c>
      <c r="D229" s="6">
        <v>11.2875</v>
      </c>
      <c r="E229" s="8">
        <v>-3.1415926535897967</v>
      </c>
      <c r="F229" s="7"/>
      <c r="G229" s="10">
        <v>1.0355222091327501</v>
      </c>
      <c r="H229" s="10">
        <v>12.450871695729299</v>
      </c>
      <c r="I229" s="10">
        <v>-3.14159265358979</v>
      </c>
      <c r="K229" s="10">
        <v>-2.0812835364575299</v>
      </c>
      <c r="L229" s="10">
        <v>12.7588140403869</v>
      </c>
      <c r="M229" s="10">
        <v>-3.0626657672189102</v>
      </c>
      <c r="N229" s="13"/>
      <c r="O229" s="10">
        <v>-1.1097501600914299</v>
      </c>
      <c r="P229" s="10">
        <v>12.3464942802719</v>
      </c>
      <c r="Q229" s="10">
        <v>-3.0699915669793798</v>
      </c>
      <c r="R229" s="13"/>
      <c r="S229" s="8">
        <v>-3.1415926535897967</v>
      </c>
      <c r="T229" s="17"/>
      <c r="U229" s="13">
        <f t="shared" si="24"/>
        <v>0</v>
      </c>
      <c r="V229" s="13">
        <f t="shared" si="31"/>
        <v>3.8166656177562204E-13</v>
      </c>
      <c r="W229" s="13">
        <f t="shared" si="25"/>
        <v>4.5221774791604163</v>
      </c>
      <c r="X229" s="13">
        <f t="shared" si="26"/>
        <v>4.1024400713275559</v>
      </c>
      <c r="Z229" t="str">
        <f t="shared" si="27"/>
        <v>0.599999999999913,11.2875</v>
      </c>
      <c r="AA229" t="str">
        <f t="shared" si="28"/>
        <v>1.03552220913275,12.4508716957293</v>
      </c>
      <c r="AB229" t="str">
        <f t="shared" si="29"/>
        <v>-2.08128353645753,12.7588140403869</v>
      </c>
      <c r="AC229" t="str">
        <f t="shared" si="30"/>
        <v>-1.10975016009143,12.3464942802719</v>
      </c>
    </row>
    <row r="230" spans="2:29" x14ac:dyDescent="0.2">
      <c r="B230" s="3">
        <v>228</v>
      </c>
      <c r="C230" s="6">
        <v>0.59999999999991305</v>
      </c>
      <c r="D230" s="6">
        <v>10.0275</v>
      </c>
      <c r="E230" s="8">
        <v>-3.1415926535897967</v>
      </c>
      <c r="F230" s="7"/>
      <c r="G230" s="10">
        <v>1.0355222091327501</v>
      </c>
      <c r="H230" s="10">
        <v>11.1908716957293</v>
      </c>
      <c r="I230" s="10">
        <v>-3.14159265358979</v>
      </c>
      <c r="K230" s="10">
        <v>-2.1806281944543202</v>
      </c>
      <c r="L230" s="10">
        <v>11.5027365591273</v>
      </c>
      <c r="M230" s="10">
        <v>-3.1279598689106498</v>
      </c>
      <c r="N230" s="13"/>
      <c r="O230" s="10">
        <v>-1.19989046251248</v>
      </c>
      <c r="P230" s="10">
        <v>11.089722731469401</v>
      </c>
      <c r="Q230" s="10">
        <v>-3.1355028724417702</v>
      </c>
      <c r="R230" s="13"/>
      <c r="S230" s="8">
        <v>-3.1415926535897967</v>
      </c>
      <c r="T230" s="17"/>
      <c r="U230" s="13">
        <f t="shared" si="24"/>
        <v>0</v>
      </c>
      <c r="V230" s="13">
        <f t="shared" si="31"/>
        <v>3.8166656177562204E-13</v>
      </c>
      <c r="W230" s="13">
        <f t="shared" si="25"/>
        <v>0.78110102512572521</v>
      </c>
      <c r="X230" s="13">
        <f t="shared" si="26"/>
        <v>0.34891875794025146</v>
      </c>
      <c r="Z230" t="str">
        <f t="shared" si="27"/>
        <v>0.599999999999913,10.0275</v>
      </c>
      <c r="AA230" t="str">
        <f t="shared" si="28"/>
        <v>1.03552220913275,11.1908716957293</v>
      </c>
      <c r="AB230" t="str">
        <f t="shared" si="29"/>
        <v>-2.18062819445432,11.5027365591273</v>
      </c>
      <c r="AC230" t="str">
        <f t="shared" si="30"/>
        <v>-1.19989046251248,11.0897227314694</v>
      </c>
    </row>
    <row r="231" spans="2:29" x14ac:dyDescent="0.2">
      <c r="B231" s="3">
        <v>229</v>
      </c>
      <c r="C231" s="6">
        <v>0.59999999999991305</v>
      </c>
      <c r="D231" s="6">
        <v>8.7675000000000303</v>
      </c>
      <c r="E231" s="8">
        <v>-3.1415926535897967</v>
      </c>
      <c r="F231" s="7"/>
      <c r="G231" s="10">
        <v>1.0355222091327501</v>
      </c>
      <c r="H231" s="10">
        <v>9.9308716957292695</v>
      </c>
      <c r="I231" s="10">
        <v>-3.14159265358979</v>
      </c>
      <c r="K231" s="10">
        <v>-2.1978049710797798</v>
      </c>
      <c r="L231" s="10">
        <v>10.242853644589299</v>
      </c>
      <c r="M231" s="10">
        <v>-3.0972365077153601</v>
      </c>
      <c r="N231" s="13"/>
      <c r="O231" s="10">
        <v>-1.2075635393322199</v>
      </c>
      <c r="P231" s="10">
        <v>9.82974609522085</v>
      </c>
      <c r="Q231" s="10">
        <v>-3.1108918470447899</v>
      </c>
      <c r="R231" s="13"/>
      <c r="S231" s="8">
        <v>-3.1415926535897967</v>
      </c>
      <c r="T231" s="17"/>
      <c r="U231" s="13">
        <f t="shared" si="24"/>
        <v>0</v>
      </c>
      <c r="V231" s="13">
        <f t="shared" si="31"/>
        <v>3.8166656177562204E-13</v>
      </c>
      <c r="W231" s="13">
        <f t="shared" si="25"/>
        <v>2.5414199540718352</v>
      </c>
      <c r="X231" s="13">
        <f t="shared" si="26"/>
        <v>1.7590266426765004</v>
      </c>
      <c r="Z231" t="str">
        <f t="shared" si="27"/>
        <v>0.599999999999913,8.76750000000003</v>
      </c>
      <c r="AA231" t="str">
        <f t="shared" si="28"/>
        <v>1.03552220913275,9.93087169572927</v>
      </c>
      <c r="AB231" t="str">
        <f t="shared" si="29"/>
        <v>-2.19780497107978,10.2428536445893</v>
      </c>
      <c r="AC231" t="str">
        <f t="shared" si="30"/>
        <v>-1.20756353933222,9.82974609522085</v>
      </c>
    </row>
    <row r="232" spans="2:29" x14ac:dyDescent="0.2">
      <c r="B232" s="3">
        <v>230</v>
      </c>
      <c r="C232" s="6">
        <v>0.59999999999991205</v>
      </c>
      <c r="D232" s="6">
        <v>7.5075000000000296</v>
      </c>
      <c r="E232" s="8">
        <v>-3.1415926535897967</v>
      </c>
      <c r="F232" s="7"/>
      <c r="G232" s="10">
        <v>1.0355222091327501</v>
      </c>
      <c r="H232" s="10">
        <v>8.6708716957292697</v>
      </c>
      <c r="I232" s="10">
        <v>-3.14159265358979</v>
      </c>
      <c r="K232" s="10">
        <v>-2.2536753901348399</v>
      </c>
      <c r="L232" s="10">
        <v>8.9840929460152701</v>
      </c>
      <c r="M232" s="10">
        <v>3.1230749095156498</v>
      </c>
      <c r="N232" s="13"/>
      <c r="O232" s="10">
        <v>-1.2462404791533499</v>
      </c>
      <c r="P232" s="10">
        <v>8.5703398484815096</v>
      </c>
      <c r="Q232" s="10">
        <v>3.1144635948956298</v>
      </c>
      <c r="R232" s="13"/>
      <c r="S232" s="8">
        <v>-3.1415926535897967</v>
      </c>
      <c r="T232" s="17"/>
      <c r="U232" s="13">
        <f t="shared" si="24"/>
        <v>0</v>
      </c>
      <c r="V232" s="13">
        <f t="shared" si="31"/>
        <v>3.8166656177562204E-13</v>
      </c>
      <c r="W232" s="13">
        <f>360-(M232-S232)*180/PI()</f>
        <v>1.0609885815516122</v>
      </c>
      <c r="X232" s="13">
        <f>360-(Q232-S232)*180/PI()</f>
        <v>1.5543805653380218</v>
      </c>
      <c r="Z232" t="str">
        <f t="shared" si="27"/>
        <v>0.599999999999912,7.50750000000003</v>
      </c>
      <c r="AA232" t="str">
        <f t="shared" si="28"/>
        <v>1.03552220913275,8.67087169572927</v>
      </c>
      <c r="AB232" t="str">
        <f t="shared" si="29"/>
        <v>-2.25367539013484,8.98409294601527</v>
      </c>
      <c r="AC232" t="str">
        <f t="shared" si="30"/>
        <v>-1.24624047915335,8.57033984848151</v>
      </c>
    </row>
    <row r="233" spans="2:29" x14ac:dyDescent="0.2">
      <c r="B233" s="3">
        <v>231</v>
      </c>
      <c r="C233" s="6">
        <v>0.59999999999991205</v>
      </c>
      <c r="D233" s="6">
        <v>6.2475000000000298</v>
      </c>
      <c r="E233" s="8">
        <v>-3.1415926535897967</v>
      </c>
      <c r="F233" s="7"/>
      <c r="G233" s="10">
        <v>1.0355222091327601</v>
      </c>
      <c r="H233" s="10">
        <v>7.41087169572927</v>
      </c>
      <c r="I233" s="10">
        <v>3.1230749095156498</v>
      </c>
      <c r="K233" s="10">
        <v>-2.23034436604941</v>
      </c>
      <c r="L233" s="10">
        <v>7.7243089711548496</v>
      </c>
      <c r="M233" s="10">
        <v>3.11582893546879</v>
      </c>
      <c r="N233" s="13"/>
      <c r="O233" s="10">
        <v>-1.21206205803098</v>
      </c>
      <c r="P233" s="10">
        <v>7.3108034911144104</v>
      </c>
      <c r="Q233" s="10">
        <v>3.09127606074092</v>
      </c>
      <c r="R233" s="13"/>
      <c r="S233" s="8">
        <v>-3.1415926535897967</v>
      </c>
      <c r="T233" s="17"/>
      <c r="U233" s="13">
        <f t="shared" si="24"/>
        <v>0</v>
      </c>
      <c r="V233" s="13">
        <f>360-(I233-S233)*180/PI()</f>
        <v>1.0609885815516122</v>
      </c>
      <c r="W233" s="13">
        <f>360-(M233-S233)*180/PI()</f>
        <v>1.4761523128979661</v>
      </c>
      <c r="X233" s="13">
        <f>360-(Q233-S233)*180/PI()</f>
        <v>2.8829284097183745</v>
      </c>
      <c r="Z233" t="str">
        <f t="shared" si="27"/>
        <v>0.599999999999912,6.24750000000003</v>
      </c>
      <c r="AA233" t="str">
        <f t="shared" si="28"/>
        <v>1.03552220913276,7.41087169572927</v>
      </c>
      <c r="AB233" t="str">
        <f t="shared" si="29"/>
        <v>-2.23034436604941,7.72430897115485</v>
      </c>
      <c r="AC233" t="str">
        <f t="shared" si="30"/>
        <v>-1.21206205803098,7.31080349111441</v>
      </c>
    </row>
    <row r="234" spans="2:29" x14ac:dyDescent="0.2">
      <c r="B234" s="3">
        <v>232</v>
      </c>
      <c r="C234" s="6">
        <v>0.59999999999991205</v>
      </c>
      <c r="D234" s="6">
        <v>4.98750000000003</v>
      </c>
      <c r="E234" s="8">
        <v>-3.1415926535897967</v>
      </c>
      <c r="F234" s="7"/>
      <c r="G234" s="10">
        <v>1.0588532332181899</v>
      </c>
      <c r="H234" s="10">
        <v>6.1510877208688397</v>
      </c>
      <c r="I234" s="10">
        <v>3.11582893546879</v>
      </c>
      <c r="K234" s="10">
        <v>-2.1978856723417501</v>
      </c>
      <c r="L234" s="10">
        <v>6.4647271226024099</v>
      </c>
      <c r="M234" s="10">
        <v>-3.1024154928174101</v>
      </c>
      <c r="N234" s="13"/>
      <c r="O234" s="10">
        <v>-1.1486898994528301</v>
      </c>
      <c r="P234" s="10">
        <v>6.0523981631230104</v>
      </c>
      <c r="Q234" s="10">
        <v>-3.1075441536003598</v>
      </c>
      <c r="R234" s="13"/>
      <c r="S234" s="8">
        <v>-3.1415926535897967</v>
      </c>
      <c r="T234" s="17"/>
      <c r="U234" s="13">
        <f t="shared" si="24"/>
        <v>0</v>
      </c>
      <c r="V234" s="13">
        <f>360-(I234-S234)*180/PI()</f>
        <v>1.4761523128979661</v>
      </c>
      <c r="W234" s="13">
        <f t="shared" si="25"/>
        <v>2.2446859655632365</v>
      </c>
      <c r="X234" s="13">
        <f t="shared" si="26"/>
        <v>1.9508353481459579</v>
      </c>
      <c r="Z234" t="str">
        <f t="shared" si="27"/>
        <v>0.599999999999912,4.98750000000003</v>
      </c>
      <c r="AA234" t="str">
        <f t="shared" si="28"/>
        <v>1.05885323321819,6.15108772086884</v>
      </c>
      <c r="AB234" t="str">
        <f t="shared" si="29"/>
        <v>-2.19788567234175,6.46472712260241</v>
      </c>
      <c r="AC234" t="str">
        <f t="shared" si="30"/>
        <v>-1.14868989945283,6.05239816312301</v>
      </c>
    </row>
    <row r="235" spans="2:29" x14ac:dyDescent="0.2">
      <c r="B235" s="3">
        <v>233</v>
      </c>
      <c r="C235" s="6">
        <v>0.59999999999991205</v>
      </c>
      <c r="D235" s="6">
        <v>3.7275000000000298</v>
      </c>
      <c r="E235" s="8">
        <v>-3.1415926535897967</v>
      </c>
      <c r="F235" s="7"/>
      <c r="G235" s="10">
        <v>1.09131192692585</v>
      </c>
      <c r="H235" s="10">
        <v>4.8915058723164</v>
      </c>
      <c r="I235" s="10">
        <v>-3.14159265358979</v>
      </c>
      <c r="K235" s="10">
        <v>-2.24723626836089</v>
      </c>
      <c r="L235" s="10">
        <v>5.2056939543846097</v>
      </c>
      <c r="M235" s="10">
        <v>-3.1216521699115698</v>
      </c>
      <c r="N235" s="13"/>
      <c r="O235" s="10">
        <v>-1.1915827207080001</v>
      </c>
      <c r="P235" s="10">
        <v>4.7931284517883901</v>
      </c>
      <c r="Q235" s="10">
        <v>-3.1405255571322002</v>
      </c>
      <c r="R235" s="13"/>
      <c r="S235" s="8">
        <v>-3.1415926535897967</v>
      </c>
      <c r="T235" s="17"/>
      <c r="U235" s="13">
        <f t="shared" si="24"/>
        <v>0</v>
      </c>
      <c r="V235" s="13">
        <f t="shared" si="31"/>
        <v>3.8166656177562204E-13</v>
      </c>
      <c r="W235" s="13">
        <f t="shared" si="25"/>
        <v>1.1425055562119037</v>
      </c>
      <c r="X235" s="13">
        <f t="shared" si="26"/>
        <v>6.1140123353640601E-2</v>
      </c>
      <c r="Z235" t="str">
        <f t="shared" si="27"/>
        <v>0.599999999999912,3.72750000000003</v>
      </c>
      <c r="AA235" t="str">
        <f t="shared" si="28"/>
        <v>1.09131192692585,4.8915058723164</v>
      </c>
      <c r="AB235" t="str">
        <f t="shared" si="29"/>
        <v>-2.24723626836089,5.20569395438461</v>
      </c>
      <c r="AC235" t="str">
        <f t="shared" si="30"/>
        <v>-1.191582720708,4.79312845178839</v>
      </c>
    </row>
    <row r="236" spans="2:29" x14ac:dyDescent="0.2">
      <c r="B236" s="3">
        <v>234</v>
      </c>
      <c r="C236" s="6">
        <v>0.59999999999991205</v>
      </c>
      <c r="D236" s="6">
        <v>2.4675000000000402</v>
      </c>
      <c r="E236" s="8">
        <v>-3.1415926535897967</v>
      </c>
      <c r="F236" s="7"/>
      <c r="G236" s="10">
        <v>1.09131192692585</v>
      </c>
      <c r="H236" s="10">
        <v>3.6315058723164002</v>
      </c>
      <c r="I236" s="10">
        <v>-3.14159265358979</v>
      </c>
      <c r="K236" s="10">
        <v>-2.27235961278208</v>
      </c>
      <c r="L236" s="10">
        <v>3.9459444485045299</v>
      </c>
      <c r="M236" s="10">
        <v>-3.0024934830952801</v>
      </c>
      <c r="N236" s="13"/>
      <c r="O236" s="10">
        <v>-1.1929272619894</v>
      </c>
      <c r="P236" s="10">
        <v>3.53312916916608</v>
      </c>
      <c r="Q236" s="10">
        <v>-3.0268964009847301</v>
      </c>
      <c r="R236" s="13"/>
      <c r="S236" s="8">
        <v>-3.1415926535897967</v>
      </c>
      <c r="T236" s="17"/>
      <c r="U236" s="13">
        <f t="shared" si="24"/>
        <v>0</v>
      </c>
      <c r="V236" s="13">
        <f t="shared" si="31"/>
        <v>3.8166656177562204E-13</v>
      </c>
      <c r="W236" s="13">
        <f t="shared" si="25"/>
        <v>7.9697954031064677</v>
      </c>
      <c r="X236" s="13">
        <f t="shared" si="26"/>
        <v>6.5716112002366867</v>
      </c>
      <c r="Z236" t="str">
        <f t="shared" si="27"/>
        <v>0.599999999999912,2.46750000000004</v>
      </c>
      <c r="AA236" t="str">
        <f t="shared" si="28"/>
        <v>1.09131192692585,3.6315058723164</v>
      </c>
      <c r="AB236" t="str">
        <f t="shared" si="29"/>
        <v>-2.27235961278208,3.94594444850453</v>
      </c>
      <c r="AC236" t="str">
        <f t="shared" si="30"/>
        <v>-1.1929272619894,3.53312916916608</v>
      </c>
    </row>
    <row r="237" spans="2:29" x14ac:dyDescent="0.2">
      <c r="B237" s="3">
        <v>235</v>
      </c>
      <c r="C237" s="6">
        <v>0.59999999999991205</v>
      </c>
      <c r="D237" s="6">
        <v>1.20750000000003</v>
      </c>
      <c r="E237" s="8">
        <v>-3.1415926535897967</v>
      </c>
      <c r="F237" s="7"/>
      <c r="G237" s="10">
        <v>1.09131192692585</v>
      </c>
      <c r="H237" s="10">
        <v>2.3715058723164</v>
      </c>
      <c r="I237" s="10">
        <v>-3.14159265358979</v>
      </c>
      <c r="K237" s="10">
        <v>-2.4470599261550601</v>
      </c>
      <c r="L237" s="10">
        <v>2.6981144117978499</v>
      </c>
      <c r="M237" s="10">
        <v>-3.1360692470133902</v>
      </c>
      <c r="N237" s="13"/>
      <c r="O237" s="10">
        <v>-1.3371278889434499</v>
      </c>
      <c r="P237" s="10">
        <v>2.2814078826226001</v>
      </c>
      <c r="Q237" s="10">
        <v>3.1364363655653098</v>
      </c>
      <c r="R237" s="13"/>
      <c r="S237" s="8">
        <v>-3.1415926535897967</v>
      </c>
      <c r="T237" s="17"/>
      <c r="U237" s="13">
        <f t="shared" si="24"/>
        <v>0</v>
      </c>
      <c r="V237" s="13">
        <f t="shared" si="31"/>
        <v>3.8166656177562204E-13</v>
      </c>
      <c r="W237" s="13">
        <f t="shared" si="25"/>
        <v>0.31646788536289494</v>
      </c>
      <c r="X237" s="13">
        <f>360-(Q237-S237)*180/PI()</f>
        <v>0.29543354175655168</v>
      </c>
      <c r="Z237" t="str">
        <f t="shared" si="27"/>
        <v>0.599999999999912,1.20750000000003</v>
      </c>
      <c r="AA237" t="str">
        <f t="shared" si="28"/>
        <v>1.09131192692585,2.3715058723164</v>
      </c>
      <c r="AB237" t="str">
        <f t="shared" si="29"/>
        <v>-2.44705992615506,2.69811441179785</v>
      </c>
      <c r="AC237" t="str">
        <f t="shared" si="30"/>
        <v>-1.33712788894345,2.2814078826226</v>
      </c>
    </row>
    <row r="238" spans="2:29" x14ac:dyDescent="0.2">
      <c r="B238" s="3">
        <v>236</v>
      </c>
      <c r="C238" s="6">
        <v>0.59999999999991205</v>
      </c>
      <c r="D238" s="6">
        <v>-5.2499999999965102E-2</v>
      </c>
      <c r="E238" s="8">
        <v>-3.1415926535897967</v>
      </c>
      <c r="F238" s="7"/>
      <c r="G238" s="10">
        <v>1.09131192692585</v>
      </c>
      <c r="H238" s="10">
        <v>1.1115058723164</v>
      </c>
      <c r="I238" s="10">
        <v>-3.14159265358979</v>
      </c>
      <c r="K238" s="10">
        <v>-2.4540193830546602</v>
      </c>
      <c r="L238" s="10">
        <v>1.4381336318017199</v>
      </c>
      <c r="M238" s="10">
        <v>-3.0412923257642501</v>
      </c>
      <c r="N238" s="13"/>
      <c r="O238" s="10">
        <v>-1.33063099482184</v>
      </c>
      <c r="P238" s="10">
        <v>1.02142463258839</v>
      </c>
      <c r="Q238" s="10">
        <v>-3.0547106181267898</v>
      </c>
      <c r="R238" s="13"/>
      <c r="S238" s="8">
        <v>-3.1415926535897967</v>
      </c>
      <c r="T238" s="17"/>
      <c r="U238" s="13">
        <f t="shared" si="24"/>
        <v>0</v>
      </c>
      <c r="V238" s="13">
        <f t="shared" si="31"/>
        <v>3.8166656177562204E-13</v>
      </c>
      <c r="W238" s="13">
        <f t="shared" si="25"/>
        <v>5.7467854681823907</v>
      </c>
      <c r="X238" s="13">
        <f t="shared" si="26"/>
        <v>4.977973947536241</v>
      </c>
      <c r="Z238" t="str">
        <f t="shared" si="27"/>
        <v>0.599999999999912,-0.0524999999999651</v>
      </c>
      <c r="AA238" t="str">
        <f t="shared" si="28"/>
        <v>1.09131192692585,1.1115058723164</v>
      </c>
      <c r="AB238" t="str">
        <f t="shared" si="29"/>
        <v>-2.45401938305466,1.43813363180172</v>
      </c>
      <c r="AC238" t="str">
        <f t="shared" si="30"/>
        <v>-1.33063099482184,1.02142463258839</v>
      </c>
    </row>
  </sheetData>
  <mergeCells count="2">
    <mergeCell ref="B1:E1"/>
    <mergeCell ref="G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E0CC-C4DE-41C8-BD84-0ED035CC9380}">
  <dimension ref="B1:AC230"/>
  <sheetViews>
    <sheetView topLeftCell="A181" workbookViewId="0">
      <selection activeCell="U181" sqref="U1:X1048576"/>
    </sheetView>
  </sheetViews>
  <sheetFormatPr defaultRowHeight="14.25" x14ac:dyDescent="0.2"/>
  <cols>
    <col min="3" max="4" width="9" style="7"/>
    <col min="5" max="5" width="11" style="7" bestFit="1" customWidth="1"/>
    <col min="8" max="9" width="9" style="11"/>
    <col min="19" max="19" width="11" style="21" bestFit="1" customWidth="1"/>
    <col min="26" max="26" width="36.375" customWidth="1"/>
    <col min="27" max="27" width="34.5" customWidth="1"/>
    <col min="28" max="29" width="33.75" customWidth="1"/>
  </cols>
  <sheetData>
    <row r="1" spans="2:29" x14ac:dyDescent="0.2">
      <c r="B1" s="15"/>
      <c r="C1" s="15"/>
      <c r="D1" s="15"/>
      <c r="E1" s="15"/>
      <c r="G1" s="16"/>
      <c r="H1" s="16"/>
      <c r="I1" s="16"/>
      <c r="S1" s="18"/>
    </row>
    <row r="2" spans="2:29" x14ac:dyDescent="0.2">
      <c r="B2" s="2" t="s">
        <v>2</v>
      </c>
      <c r="C2" s="4" t="s">
        <v>0</v>
      </c>
      <c r="D2" s="4" t="s">
        <v>1</v>
      </c>
      <c r="E2" s="5" t="s">
        <v>3</v>
      </c>
      <c r="G2" s="9" t="s">
        <v>0</v>
      </c>
      <c r="H2" s="9" t="s">
        <v>0</v>
      </c>
      <c r="I2" s="1" t="s">
        <v>5</v>
      </c>
      <c r="K2" s="9" t="s">
        <v>0</v>
      </c>
      <c r="L2" s="9" t="s">
        <v>1</v>
      </c>
      <c r="M2" s="9" t="s">
        <v>4</v>
      </c>
      <c r="N2" s="14"/>
      <c r="O2" s="9" t="s">
        <v>0</v>
      </c>
      <c r="P2" s="9" t="s">
        <v>1</v>
      </c>
      <c r="Q2" s="9" t="s">
        <v>9</v>
      </c>
      <c r="R2" s="12"/>
      <c r="S2" s="19" t="s">
        <v>3</v>
      </c>
      <c r="T2" s="12"/>
      <c r="U2" s="12"/>
      <c r="V2" s="12"/>
      <c r="W2" s="12"/>
      <c r="X2" s="12"/>
      <c r="Z2" s="12" t="s">
        <v>6</v>
      </c>
      <c r="AA2" s="12" t="s">
        <v>7</v>
      </c>
      <c r="AB2" s="12" t="s">
        <v>8</v>
      </c>
      <c r="AC2" s="12" t="s">
        <v>10</v>
      </c>
    </row>
    <row r="3" spans="2:29" x14ac:dyDescent="0.2">
      <c r="B3" s="3">
        <v>1</v>
      </c>
      <c r="C3" s="6">
        <v>0</v>
      </c>
      <c r="D3" s="6">
        <v>0</v>
      </c>
      <c r="E3" s="8">
        <v>1.5707963267949001</v>
      </c>
      <c r="F3" s="7"/>
      <c r="G3" s="10">
        <v>0</v>
      </c>
      <c r="H3" s="10">
        <v>0</v>
      </c>
      <c r="I3" s="10">
        <v>1.68126947480176</v>
      </c>
      <c r="K3" s="10">
        <v>0</v>
      </c>
      <c r="L3" s="10">
        <v>0</v>
      </c>
      <c r="M3" s="10">
        <v>1.68126947480176</v>
      </c>
      <c r="N3" s="13"/>
      <c r="O3" s="10">
        <v>0</v>
      </c>
      <c r="P3" s="10">
        <v>0</v>
      </c>
      <c r="Q3" s="10">
        <v>1.6518905244019499</v>
      </c>
      <c r="R3" s="13"/>
      <c r="S3" s="20">
        <v>1.5707963267949001</v>
      </c>
      <c r="T3" s="13"/>
      <c r="U3" s="13">
        <f>(E3-S3)*180/PI()</f>
        <v>0</v>
      </c>
      <c r="V3" s="13">
        <f>(I3-S3)*180/PI()</f>
        <v>6.3296451303171564</v>
      </c>
      <c r="W3" s="13">
        <f>(M3-S3)*180/PI()</f>
        <v>6.3296451303171564</v>
      </c>
      <c r="X3" s="13">
        <f>(Q3-S3)*180/PI()</f>
        <v>4.6463552658838561</v>
      </c>
      <c r="Z3" t="str">
        <f>C3&amp;","&amp;D3</f>
        <v>0,0</v>
      </c>
      <c r="AA3" t="str">
        <f>G3&amp;","&amp;H3</f>
        <v>0,0</v>
      </c>
      <c r="AB3" t="str">
        <f>K3&amp;","&amp;L3</f>
        <v>0,0</v>
      </c>
      <c r="AC3" t="str">
        <f>O3&amp;","&amp;P3</f>
        <v>0,0</v>
      </c>
    </row>
    <row r="4" spans="2:29" x14ac:dyDescent="0.2">
      <c r="B4" s="3">
        <v>2</v>
      </c>
      <c r="C4" s="6">
        <v>0.79245283018867896</v>
      </c>
      <c r="D4" s="6">
        <v>-4.85237410982914E-17</v>
      </c>
      <c r="E4" s="8">
        <v>1.5707963267949001</v>
      </c>
      <c r="F4" s="7"/>
      <c r="G4" s="10">
        <v>0.78762207364696002</v>
      </c>
      <c r="H4" s="10">
        <v>8.7366796771486899E-2</v>
      </c>
      <c r="I4" s="10">
        <v>1.68126947480176</v>
      </c>
      <c r="K4" s="10">
        <v>0.78762207364696002</v>
      </c>
      <c r="L4" s="10">
        <v>8.7366796771486899E-2</v>
      </c>
      <c r="M4" s="10">
        <v>1.6225157438595199</v>
      </c>
      <c r="N4" s="13"/>
      <c r="O4" s="10">
        <v>0.78984856640777801</v>
      </c>
      <c r="P4" s="10">
        <v>6.4192914076445298E-2</v>
      </c>
      <c r="Q4" s="10">
        <v>1.5940605230351399</v>
      </c>
      <c r="R4" s="13"/>
      <c r="S4" s="20">
        <v>1.5707963267949001</v>
      </c>
      <c r="T4" s="13"/>
      <c r="U4" s="13">
        <f t="shared" ref="U4:U67" si="0">E4-S4</f>
        <v>0</v>
      </c>
      <c r="V4" s="13">
        <f t="shared" ref="V4:V67" si="1">(I4-S4)*180/PI()</f>
        <v>6.3296451303171564</v>
      </c>
      <c r="W4" s="13">
        <f t="shared" ref="W4:W67" si="2">(M4-S4)*180/PI()</f>
        <v>2.9633043166796029</v>
      </c>
      <c r="X4" s="13">
        <f t="shared" ref="X4:X67" si="3">(Q4-S4)*180/PI()</f>
        <v>1.3329402583298575</v>
      </c>
      <c r="Z4" t="str">
        <f t="shared" ref="Z4:Z67" si="4">C4&amp;","&amp;D4</f>
        <v>0.792452830188679,-4.85237410982914E-17</v>
      </c>
      <c r="AA4" t="str">
        <f t="shared" ref="AA4:AA67" si="5">G4&amp;","&amp;H4</f>
        <v>0.78762207364696,0.0873667967714869</v>
      </c>
      <c r="AB4" t="str">
        <f t="shared" ref="AB4:AB67" si="6">K4&amp;","&amp;L4</f>
        <v>0.78762207364696,0.0873667967714869</v>
      </c>
      <c r="AC4" t="str">
        <f t="shared" ref="AC4:AC67" si="7">O4&amp;","&amp;P4</f>
        <v>0.789848566407778,0.0641929140764453</v>
      </c>
    </row>
    <row r="5" spans="2:29" x14ac:dyDescent="0.2">
      <c r="B5" s="3">
        <v>3</v>
      </c>
      <c r="C5" s="6">
        <v>1.5849056603773599</v>
      </c>
      <c r="D5" s="6">
        <v>-9.7047482196582702E-17</v>
      </c>
      <c r="E5" s="8">
        <v>1.5707963267949001</v>
      </c>
      <c r="F5" s="7"/>
      <c r="G5" s="10">
        <v>1.57524414729392</v>
      </c>
      <c r="H5" s="10">
        <v>0.17473359354297399</v>
      </c>
      <c r="I5" s="10">
        <v>1.6225157438595199</v>
      </c>
      <c r="K5" s="10">
        <v>1.5790152747817101</v>
      </c>
      <c r="L5" s="10">
        <v>0.12833372577209301</v>
      </c>
      <c r="M5" s="10">
        <v>1.6905152782466</v>
      </c>
      <c r="N5" s="13"/>
      <c r="O5" s="10">
        <v>1.5820869594878499</v>
      </c>
      <c r="P5" s="10">
        <v>8.2627029296766796E-2</v>
      </c>
      <c r="Q5" s="10">
        <v>1.65321989430139</v>
      </c>
      <c r="R5" s="13"/>
      <c r="S5" s="20">
        <v>1.5707963267949001</v>
      </c>
      <c r="T5" s="13"/>
      <c r="U5" s="13">
        <f t="shared" si="0"/>
        <v>0</v>
      </c>
      <c r="V5" s="13">
        <f t="shared" si="1"/>
        <v>2.9633043166796029</v>
      </c>
      <c r="W5" s="13">
        <f t="shared" si="2"/>
        <v>6.8593906459140026</v>
      </c>
      <c r="X5" s="13">
        <f t="shared" si="3"/>
        <v>4.7225225505335047</v>
      </c>
      <c r="Z5" t="str">
        <f t="shared" si="4"/>
        <v>1.58490566037736,-9.70474821965827E-17</v>
      </c>
      <c r="AA5" t="str">
        <f t="shared" si="5"/>
        <v>1.57524414729392,0.174733593542974</v>
      </c>
      <c r="AB5" t="str">
        <f t="shared" si="6"/>
        <v>1.57901527478171,0.128333725772093</v>
      </c>
      <c r="AC5" t="str">
        <f t="shared" si="7"/>
        <v>1.58208695948785,0.0826270292967668</v>
      </c>
    </row>
    <row r="6" spans="2:29" x14ac:dyDescent="0.2">
      <c r="B6" s="3">
        <v>4</v>
      </c>
      <c r="C6" s="6">
        <v>2.3773584905660399</v>
      </c>
      <c r="D6" s="6">
        <v>-1.4557122329487399E-16</v>
      </c>
      <c r="E6" s="8">
        <v>1.5707963267949001</v>
      </c>
      <c r="F6" s="7"/>
      <c r="G6" s="10">
        <v>2.3666373484286698</v>
      </c>
      <c r="H6" s="10">
        <v>0.21570052254357999</v>
      </c>
      <c r="I6" s="10">
        <v>1.6905152782466</v>
      </c>
      <c r="K6" s="10">
        <v>2.36579591905691</v>
      </c>
      <c r="L6" s="10">
        <v>0.222978883429271</v>
      </c>
      <c r="M6" s="10">
        <v>1.6067910354916399</v>
      </c>
      <c r="N6" s="13"/>
      <c r="O6" s="10">
        <v>2.3718494918733302</v>
      </c>
      <c r="P6" s="10">
        <v>0.14786988725161099</v>
      </c>
      <c r="Q6" s="10">
        <v>1.5910022558100601</v>
      </c>
      <c r="R6" s="13"/>
      <c r="S6" s="20">
        <v>1.5707963267949001</v>
      </c>
      <c r="T6" s="13"/>
      <c r="U6" s="13">
        <f t="shared" si="0"/>
        <v>0</v>
      </c>
      <c r="V6" s="13">
        <f t="shared" si="1"/>
        <v>6.8593906459140026</v>
      </c>
      <c r="W6" s="13">
        <f t="shared" si="2"/>
        <v>2.0623448931260313</v>
      </c>
      <c r="X6" s="13">
        <f t="shared" si="3"/>
        <v>1.1577144537095967</v>
      </c>
      <c r="Z6" t="str">
        <f t="shared" si="4"/>
        <v>2.37735849056604,-1.45571223294874E-16</v>
      </c>
      <c r="AA6" t="str">
        <f t="shared" si="5"/>
        <v>2.36663734842867,0.21570052254358</v>
      </c>
      <c r="AB6" t="str">
        <f t="shared" si="6"/>
        <v>2.36579591905691,0.222978883429271</v>
      </c>
      <c r="AC6" t="str">
        <f t="shared" si="7"/>
        <v>2.37184949187333,0.147869887251611</v>
      </c>
    </row>
    <row r="7" spans="2:29" x14ac:dyDescent="0.2">
      <c r="B7" s="3">
        <v>5</v>
      </c>
      <c r="C7" s="6">
        <v>3.1698113207547198</v>
      </c>
      <c r="D7" s="6">
        <v>-1.9409496439316501E-16</v>
      </c>
      <c r="E7" s="8">
        <v>1.5707963267949001</v>
      </c>
      <c r="F7" s="7"/>
      <c r="G7" s="10">
        <v>3.1534179927038699</v>
      </c>
      <c r="H7" s="10">
        <v>0.31034568020075798</v>
      </c>
      <c r="I7" s="10">
        <v>1.6067910354916399</v>
      </c>
      <c r="K7" s="10">
        <v>3.15773544617646</v>
      </c>
      <c r="L7" s="10">
        <v>0.25149683321035099</v>
      </c>
      <c r="M7" s="10">
        <v>1.6236229860211</v>
      </c>
      <c r="N7" s="13"/>
      <c r="O7" s="10">
        <v>3.1641405564165899</v>
      </c>
      <c r="P7" s="10">
        <v>0.163881043329726</v>
      </c>
      <c r="Q7" s="10">
        <v>1.60071792180902</v>
      </c>
      <c r="R7" s="13"/>
      <c r="S7" s="20">
        <v>1.5707963267949001</v>
      </c>
      <c r="T7" s="13"/>
      <c r="U7" s="13">
        <f t="shared" si="0"/>
        <v>0</v>
      </c>
      <c r="V7" s="13">
        <f t="shared" si="1"/>
        <v>2.0623448931260313</v>
      </c>
      <c r="W7" s="13">
        <f t="shared" si="2"/>
        <v>3.0267446194370851</v>
      </c>
      <c r="X7" s="13">
        <f t="shared" si="3"/>
        <v>1.7143811106087536</v>
      </c>
      <c r="Z7" t="str">
        <f t="shared" si="4"/>
        <v>3.16981132075472,-1.94094964393165E-16</v>
      </c>
      <c r="AA7" t="str">
        <f t="shared" si="5"/>
        <v>3.15341799270387,0.310345680200758</v>
      </c>
      <c r="AB7" t="str">
        <f t="shared" si="6"/>
        <v>3.15773544617646,0.251496833210351</v>
      </c>
      <c r="AC7" t="str">
        <f t="shared" si="7"/>
        <v>3.16414055641659,0.163881043329726</v>
      </c>
    </row>
    <row r="8" spans="2:29" x14ac:dyDescent="0.2">
      <c r="B8" s="3">
        <v>6</v>
      </c>
      <c r="C8" s="6">
        <v>3.9622641509433998</v>
      </c>
      <c r="D8" s="6">
        <v>-2.4261870549145701E-16</v>
      </c>
      <c r="E8" s="8">
        <v>1.5707963267949001</v>
      </c>
      <c r="F8" s="7"/>
      <c r="G8" s="10">
        <v>3.9453575198234199</v>
      </c>
      <c r="H8" s="10">
        <v>0.338863629981838</v>
      </c>
      <c r="I8" s="10">
        <v>1.6236229860211</v>
      </c>
      <c r="K8" s="10">
        <v>3.94908280189133</v>
      </c>
      <c r="L8" s="10">
        <v>0.29334000083817302</v>
      </c>
      <c r="M8" s="10">
        <v>1.55525875256629</v>
      </c>
      <c r="N8" s="13"/>
      <c r="O8" s="10">
        <v>3.9562386708295301</v>
      </c>
      <c r="P8" s="10">
        <v>0.187588957989577</v>
      </c>
      <c r="Q8" s="10">
        <v>1.5479873790180301</v>
      </c>
      <c r="R8" s="13"/>
      <c r="S8" s="20">
        <v>1.5707963267949001</v>
      </c>
      <c r="T8" s="13"/>
      <c r="U8" s="13">
        <f t="shared" si="0"/>
        <v>0</v>
      </c>
      <c r="V8" s="13">
        <f t="shared" si="1"/>
        <v>3.0267446194370851</v>
      </c>
      <c r="W8" s="13">
        <f t="shared" si="2"/>
        <v>-0.89023742717059617</v>
      </c>
      <c r="X8" s="13">
        <f t="shared" si="3"/>
        <v>-1.3068564427489548</v>
      </c>
      <c r="Z8" t="str">
        <f t="shared" si="4"/>
        <v>3.9622641509434,-2.42618705491457E-16</v>
      </c>
      <c r="AA8" t="str">
        <f t="shared" si="5"/>
        <v>3.94535751982342,0.338863629981838</v>
      </c>
      <c r="AB8" t="str">
        <f t="shared" si="6"/>
        <v>3.94908280189133,0.293340000838173</v>
      </c>
      <c r="AC8" t="str">
        <f t="shared" si="7"/>
        <v>3.95623867082953,0.187588957989577</v>
      </c>
    </row>
    <row r="9" spans="2:29" x14ac:dyDescent="0.2">
      <c r="B9" s="3">
        <v>7</v>
      </c>
      <c r="C9" s="6">
        <v>4.7547169811320797</v>
      </c>
      <c r="D9" s="6">
        <v>-2.9114244658974798E-16</v>
      </c>
      <c r="E9" s="8">
        <v>1.5707963267949001</v>
      </c>
      <c r="F9" s="7"/>
      <c r="G9" s="10">
        <v>4.7367048755382903</v>
      </c>
      <c r="H9" s="10">
        <v>0.38070679760965997</v>
      </c>
      <c r="I9" s="10">
        <v>1.55525875256629</v>
      </c>
      <c r="K9" s="10">
        <v>4.7414399785238004</v>
      </c>
      <c r="L9" s="10">
        <v>0.28102770157850798</v>
      </c>
      <c r="M9" s="10">
        <v>1.56670880382458</v>
      </c>
      <c r="N9" s="13"/>
      <c r="O9" s="10">
        <v>4.74848537391577</v>
      </c>
      <c r="P9" s="10">
        <v>0.16951550997812001</v>
      </c>
      <c r="Q9" s="10">
        <v>1.55505235406459</v>
      </c>
      <c r="R9" s="13"/>
      <c r="S9" s="20">
        <v>1.5707963267949001</v>
      </c>
      <c r="T9" s="13"/>
      <c r="U9" s="13">
        <f t="shared" si="0"/>
        <v>0</v>
      </c>
      <c r="V9" s="13">
        <f t="shared" si="1"/>
        <v>-0.89023742717059617</v>
      </c>
      <c r="W9" s="13">
        <f t="shared" si="2"/>
        <v>-0.23419781486212049</v>
      </c>
      <c r="X9" s="13">
        <f t="shared" si="3"/>
        <v>-0.90206319021583048</v>
      </c>
      <c r="Z9" t="str">
        <f t="shared" si="4"/>
        <v>4.75471698113208,-2.91142446589748E-16</v>
      </c>
      <c r="AA9" t="str">
        <f t="shared" si="5"/>
        <v>4.73670487553829,0.38070679760966</v>
      </c>
      <c r="AB9" t="str">
        <f t="shared" si="6"/>
        <v>4.7414399785238,0.281027701578508</v>
      </c>
      <c r="AC9" t="str">
        <f t="shared" si="7"/>
        <v>4.74848537391577,0.16951550997812</v>
      </c>
    </row>
    <row r="10" spans="2:29" x14ac:dyDescent="0.2">
      <c r="B10" s="3">
        <v>8</v>
      </c>
      <c r="C10" s="6">
        <v>5.5471698113207601</v>
      </c>
      <c r="D10" s="6">
        <v>-3.3966618768803999E-16</v>
      </c>
      <c r="E10" s="8">
        <v>1.5707963267949001</v>
      </c>
      <c r="F10" s="7"/>
      <c r="G10" s="10">
        <v>5.5290620521707599</v>
      </c>
      <c r="H10" s="10">
        <v>0.36839449834999499</v>
      </c>
      <c r="I10" s="10">
        <v>1.56670880382458</v>
      </c>
      <c r="K10" s="10">
        <v>5.5338861886325503</v>
      </c>
      <c r="L10" s="10">
        <v>0.27778854145213699</v>
      </c>
      <c r="M10" s="10">
        <v>1.5133500443182599</v>
      </c>
      <c r="N10" s="13"/>
      <c r="O10" s="10">
        <v>5.5408399924307998</v>
      </c>
      <c r="P10" s="10">
        <v>0.157039669647804</v>
      </c>
      <c r="Q10" s="10">
        <v>1.5061187791025299</v>
      </c>
      <c r="R10" s="13"/>
      <c r="S10" s="20">
        <v>1.5707963267949001</v>
      </c>
      <c r="T10" s="13"/>
      <c r="U10" s="13">
        <f t="shared" si="0"/>
        <v>0</v>
      </c>
      <c r="V10" s="13">
        <f t="shared" si="1"/>
        <v>-0.23419781486212049</v>
      </c>
      <c r="W10" s="13">
        <f t="shared" si="2"/>
        <v>-3.2914295346278206</v>
      </c>
      <c r="X10" s="13">
        <f t="shared" si="3"/>
        <v>-3.7057505120289105</v>
      </c>
      <c r="Z10" t="str">
        <f t="shared" si="4"/>
        <v>5.54716981132076,-3.3966618768804E-16</v>
      </c>
      <c r="AA10" t="str">
        <f t="shared" si="5"/>
        <v>5.52906205217076,0.368394498349995</v>
      </c>
      <c r="AB10" t="str">
        <f t="shared" si="6"/>
        <v>5.53388618863255,0.277788541452137</v>
      </c>
      <c r="AC10" t="str">
        <f t="shared" si="7"/>
        <v>5.5408399924308,0.157039669647804</v>
      </c>
    </row>
    <row r="11" spans="2:29" x14ac:dyDescent="0.2">
      <c r="B11" s="3">
        <v>9</v>
      </c>
      <c r="C11" s="6">
        <v>6.3396226415094397</v>
      </c>
      <c r="D11" s="6">
        <v>-3.88189928786331E-16</v>
      </c>
      <c r="E11" s="8">
        <v>1.5707963267949001</v>
      </c>
      <c r="F11" s="7"/>
      <c r="G11" s="10">
        <v>6.3215082622795098</v>
      </c>
      <c r="H11" s="10">
        <v>0.365155338223624</v>
      </c>
      <c r="I11" s="10">
        <v>1.5133500443182599</v>
      </c>
      <c r="K11" s="10">
        <v>6.32503180134003</v>
      </c>
      <c r="L11" s="10">
        <v>0.232290106668466</v>
      </c>
      <c r="M11" s="10">
        <v>1.5761629863332201</v>
      </c>
      <c r="N11" s="13"/>
      <c r="O11" s="10">
        <v>6.3316359118715901</v>
      </c>
      <c r="P11" s="10">
        <v>0.105821490552385</v>
      </c>
      <c r="Q11" s="10">
        <v>1.5626373012356001</v>
      </c>
      <c r="R11" s="13"/>
      <c r="S11" s="20">
        <v>1.5707963267949001</v>
      </c>
      <c r="T11" s="13"/>
      <c r="U11" s="13">
        <f t="shared" si="0"/>
        <v>0</v>
      </c>
      <c r="V11" s="13">
        <f t="shared" si="1"/>
        <v>-3.2914295346278206</v>
      </c>
      <c r="W11" s="13">
        <f t="shared" si="2"/>
        <v>0.30748694162935947</v>
      </c>
      <c r="X11" s="13">
        <f t="shared" si="3"/>
        <v>-0.46747772948725813</v>
      </c>
      <c r="Z11" t="str">
        <f t="shared" si="4"/>
        <v>6.33962264150944,-3.88189928786331E-16</v>
      </c>
      <c r="AA11" t="str">
        <f t="shared" si="5"/>
        <v>6.32150826227951,0.365155338223624</v>
      </c>
      <c r="AB11" t="str">
        <f t="shared" si="6"/>
        <v>6.32503180134003,0.232290106668466</v>
      </c>
      <c r="AC11" t="str">
        <f t="shared" si="7"/>
        <v>6.33163591187159,0.105821490552385</v>
      </c>
    </row>
    <row r="12" spans="2:29" x14ac:dyDescent="0.2">
      <c r="B12" s="3">
        <v>10</v>
      </c>
      <c r="C12" s="6">
        <v>7.1320754716981201</v>
      </c>
      <c r="D12" s="6">
        <v>-4.3671366988462202E-16</v>
      </c>
      <c r="E12" s="8">
        <v>1.5707963267949001</v>
      </c>
      <c r="F12" s="7"/>
      <c r="G12" s="10">
        <v>7.1126538749869903</v>
      </c>
      <c r="H12" s="10">
        <v>0.31965690343995201</v>
      </c>
      <c r="I12" s="10">
        <v>1.5761629863332201</v>
      </c>
      <c r="K12" s="10">
        <v>7.1174732198254</v>
      </c>
      <c r="L12" s="10">
        <v>0.23654291079400899</v>
      </c>
      <c r="M12" s="10">
        <v>1.5309416977877099</v>
      </c>
      <c r="N12" s="13"/>
      <c r="O12" s="10">
        <v>7.1240623655337698</v>
      </c>
      <c r="P12" s="10">
        <v>9.9355919392085101E-2</v>
      </c>
      <c r="Q12" s="10">
        <v>1.5219207028869299</v>
      </c>
      <c r="R12" s="13"/>
      <c r="S12" s="20">
        <v>1.5707963267949001</v>
      </c>
      <c r="T12" s="13"/>
      <c r="U12" s="13">
        <f t="shared" si="0"/>
        <v>0</v>
      </c>
      <c r="V12" s="13">
        <f t="shared" si="1"/>
        <v>0.30748694162935947</v>
      </c>
      <c r="W12" s="13">
        <f t="shared" si="2"/>
        <v>-2.2835020361716629</v>
      </c>
      <c r="X12" s="13">
        <f t="shared" si="3"/>
        <v>-2.8003669709953947</v>
      </c>
      <c r="Z12" t="str">
        <f t="shared" si="4"/>
        <v>7.13207547169812,-4.36713669884622E-16</v>
      </c>
      <c r="AA12" t="str">
        <f t="shared" si="5"/>
        <v>7.11265387498699,0.319656903439952</v>
      </c>
      <c r="AB12" t="str">
        <f t="shared" si="6"/>
        <v>7.1174732198254,0.236542910794009</v>
      </c>
      <c r="AC12" t="str">
        <f t="shared" si="7"/>
        <v>7.12406236553377,0.0993559193920851</v>
      </c>
    </row>
    <row r="13" spans="2:29" x14ac:dyDescent="0.2">
      <c r="B13" s="3">
        <v>11</v>
      </c>
      <c r="C13" s="6">
        <v>7.9245283018867898</v>
      </c>
      <c r="D13" s="6">
        <v>-4.8523741098291403E-16</v>
      </c>
      <c r="E13" s="8">
        <v>1.5707963267949001</v>
      </c>
      <c r="F13" s="7"/>
      <c r="G13" s="10">
        <v>7.9050952934723702</v>
      </c>
      <c r="H13" s="10">
        <v>0.32390970756549597</v>
      </c>
      <c r="I13" s="10">
        <v>1.5309416977877099</v>
      </c>
      <c r="K13" s="10">
        <v>7.9092967706645503</v>
      </c>
      <c r="L13" s="10">
        <v>0.20496835758213799</v>
      </c>
      <c r="M13" s="10">
        <v>1.5096907447452099</v>
      </c>
      <c r="N13" s="13"/>
      <c r="O13" s="10">
        <v>7.9155688679244598</v>
      </c>
      <c r="P13" s="10">
        <v>6.0639711580586397E-2</v>
      </c>
      <c r="Q13" s="10">
        <v>1.4981783731676901</v>
      </c>
      <c r="R13" s="13"/>
      <c r="S13" s="20">
        <v>1.5707963267949001</v>
      </c>
      <c r="T13" s="13"/>
      <c r="U13" s="13">
        <f t="shared" si="0"/>
        <v>0</v>
      </c>
      <c r="V13" s="13">
        <f t="shared" si="1"/>
        <v>-2.2835020361716629</v>
      </c>
      <c r="W13" s="13">
        <f t="shared" si="2"/>
        <v>-3.5010919561376102</v>
      </c>
      <c r="X13" s="13">
        <f t="shared" si="3"/>
        <v>-4.1607022597158618</v>
      </c>
      <c r="Z13" t="str">
        <f t="shared" si="4"/>
        <v>7.92452830188679,-4.85237410982914E-16</v>
      </c>
      <c r="AA13" t="str">
        <f t="shared" si="5"/>
        <v>7.90509529347237,0.323909707565496</v>
      </c>
      <c r="AB13" t="str">
        <f t="shared" si="6"/>
        <v>7.90929677066455,0.204968357582138</v>
      </c>
      <c r="AC13" t="str">
        <f t="shared" si="7"/>
        <v>7.91556886792446,0.0606397115805864</v>
      </c>
    </row>
    <row r="14" spans="2:29" x14ac:dyDescent="0.2">
      <c r="B14" s="3">
        <v>12</v>
      </c>
      <c r="C14" s="6">
        <v>8.7169811320754693</v>
      </c>
      <c r="D14" s="6">
        <v>-5.33761152081205E-16</v>
      </c>
      <c r="E14" s="8">
        <v>1.5707963267949001</v>
      </c>
      <c r="F14" s="7"/>
      <c r="G14" s="10">
        <v>8.6969188443115097</v>
      </c>
      <c r="H14" s="10">
        <v>0.292335154353625</v>
      </c>
      <c r="I14" s="10">
        <v>1.5096907447452099</v>
      </c>
      <c r="K14" s="10">
        <v>8.7002705944394005</v>
      </c>
      <c r="L14" s="10">
        <v>0.15657519507909801</v>
      </c>
      <c r="M14" s="10">
        <v>1.5410699974787401</v>
      </c>
      <c r="N14" s="13"/>
      <c r="O14" s="10">
        <v>8.7059331687769106</v>
      </c>
      <c r="P14" s="10">
        <v>3.1439725031824702E-3</v>
      </c>
      <c r="Q14" s="10">
        <v>1.5296808104711599</v>
      </c>
      <c r="R14" s="13"/>
      <c r="S14" s="20">
        <v>1.5707963267949001</v>
      </c>
      <c r="T14" s="13"/>
      <c r="U14" s="13">
        <f t="shared" si="0"/>
        <v>0</v>
      </c>
      <c r="V14" s="13">
        <f t="shared" si="1"/>
        <v>-3.5010919561376102</v>
      </c>
      <c r="W14" s="13">
        <f t="shared" si="2"/>
        <v>-1.7031932102319809</v>
      </c>
      <c r="X14" s="13">
        <f t="shared" si="3"/>
        <v>-2.3557455578515567</v>
      </c>
      <c r="Z14" t="str">
        <f t="shared" si="4"/>
        <v>8.71698113207547,-5.33761152081205E-16</v>
      </c>
      <c r="AA14" t="str">
        <f t="shared" si="5"/>
        <v>8.69691884431151,0.292335154353625</v>
      </c>
      <c r="AB14" t="str">
        <f t="shared" si="6"/>
        <v>8.7002705944394,0.156575195079098</v>
      </c>
      <c r="AC14" t="str">
        <f t="shared" si="7"/>
        <v>8.70593316877691,0.00314397250318247</v>
      </c>
    </row>
    <row r="15" spans="2:29" x14ac:dyDescent="0.2">
      <c r="B15" s="3">
        <v>13</v>
      </c>
      <c r="C15" s="6">
        <v>9.5094339622641506</v>
      </c>
      <c r="D15" s="6">
        <v>-5.8228489317949596E-16</v>
      </c>
      <c r="E15" s="8">
        <v>1.5707963267949001</v>
      </c>
      <c r="F15" s="7"/>
      <c r="G15" s="10">
        <v>9.48789266808636</v>
      </c>
      <c r="H15" s="10">
        <v>0.24394199185058499</v>
      </c>
      <c r="I15" s="10">
        <v>1.5410699974787401</v>
      </c>
      <c r="K15" s="10">
        <v>9.4923733230939806</v>
      </c>
      <c r="L15" s="10">
        <v>0.133021950461405</v>
      </c>
      <c r="M15" s="10">
        <v>1.5778892164151399</v>
      </c>
      <c r="N15" s="13"/>
      <c r="O15" s="10">
        <v>9.4977162782379008</v>
      </c>
      <c r="P15" s="10">
        <v>-2.94289556171527E-2</v>
      </c>
      <c r="Q15" s="10">
        <v>1.56021758954129</v>
      </c>
      <c r="R15" s="13"/>
      <c r="S15" s="20">
        <v>1.5707963267949001</v>
      </c>
      <c r="T15" s="13"/>
      <c r="U15" s="13">
        <f t="shared" si="0"/>
        <v>0</v>
      </c>
      <c r="V15" s="13">
        <f t="shared" si="1"/>
        <v>-1.7031932102319809</v>
      </c>
      <c r="W15" s="13">
        <f t="shared" si="2"/>
        <v>0.4063926397918895</v>
      </c>
      <c r="X15" s="13">
        <f t="shared" si="3"/>
        <v>-0.60611699720967649</v>
      </c>
      <c r="Z15" t="str">
        <f t="shared" si="4"/>
        <v>9.50943396226415,-5.82284893179496E-16</v>
      </c>
      <c r="AA15" t="str">
        <f t="shared" si="5"/>
        <v>9.48789266808636,0.243941991850585</v>
      </c>
      <c r="AB15" t="str">
        <f t="shared" si="6"/>
        <v>9.49237332309398,0.133021950461405</v>
      </c>
      <c r="AC15" t="str">
        <f t="shared" si="7"/>
        <v>9.4977162782379,-0.0294289556171527</v>
      </c>
    </row>
    <row r="16" spans="2:29" x14ac:dyDescent="0.2">
      <c r="B16" s="3">
        <v>14</v>
      </c>
      <c r="C16" s="6">
        <v>10.3018867924528</v>
      </c>
      <c r="D16" s="6">
        <v>-6.3080863427778802E-16</v>
      </c>
      <c r="E16" s="8">
        <v>1.5707963267949001</v>
      </c>
      <c r="F16" s="7"/>
      <c r="G16" s="10">
        <v>10.279995396740899</v>
      </c>
      <c r="H16" s="10">
        <v>0.22038874723289201</v>
      </c>
      <c r="I16" s="10">
        <v>1.5778892164151399</v>
      </c>
      <c r="K16" s="10">
        <v>10.2848062195786</v>
      </c>
      <c r="L16" s="10">
        <v>0.13864268378591299</v>
      </c>
      <c r="M16" s="10">
        <v>1.57064152275046</v>
      </c>
      <c r="N16" s="13"/>
      <c r="O16" s="10">
        <v>10.290124767268001</v>
      </c>
      <c r="P16" s="10">
        <v>-3.7811949535194303E-2</v>
      </c>
      <c r="Q16" s="10">
        <v>1.5551560902004899</v>
      </c>
      <c r="R16" s="13"/>
      <c r="S16" s="20">
        <v>1.5707963267949001</v>
      </c>
      <c r="T16" s="13"/>
      <c r="U16" s="13">
        <f t="shared" si="0"/>
        <v>0</v>
      </c>
      <c r="V16" s="13">
        <f t="shared" si="1"/>
        <v>0.4063926397918895</v>
      </c>
      <c r="W16" s="13">
        <f t="shared" si="2"/>
        <v>-8.8696183979748936E-3</v>
      </c>
      <c r="X16" s="13">
        <f t="shared" si="3"/>
        <v>-0.89611954744576616</v>
      </c>
      <c r="Z16" t="str">
        <f t="shared" si="4"/>
        <v>10.3018867924528,-6.30808634277788E-16</v>
      </c>
      <c r="AA16" t="str">
        <f t="shared" si="5"/>
        <v>10.2799953967409,0.220388747232892</v>
      </c>
      <c r="AB16" t="str">
        <f t="shared" si="6"/>
        <v>10.2848062195786,0.138642683785913</v>
      </c>
      <c r="AC16" t="str">
        <f t="shared" si="7"/>
        <v>10.290124767268,-0.0378119495351943</v>
      </c>
    </row>
    <row r="17" spans="2:29" x14ac:dyDescent="0.2">
      <c r="B17" s="3">
        <v>15</v>
      </c>
      <c r="C17" s="6">
        <v>11.094339622641501</v>
      </c>
      <c r="D17" s="6">
        <v>-6.7933237537607899E-16</v>
      </c>
      <c r="E17" s="8">
        <v>1.5707963267949001</v>
      </c>
      <c r="F17" s="7"/>
      <c r="G17" s="10">
        <v>11.072428293225499</v>
      </c>
      <c r="H17" s="10">
        <v>0.2260094805574</v>
      </c>
      <c r="I17" s="10">
        <v>1.57064152275046</v>
      </c>
      <c r="K17" s="10">
        <v>11.077259040272001</v>
      </c>
      <c r="L17" s="10">
        <v>0.13852000888326199</v>
      </c>
      <c r="M17" s="10">
        <v>1.6008923647116799</v>
      </c>
      <c r="N17" s="13"/>
      <c r="O17" s="10">
        <v>11.0824806757152</v>
      </c>
      <c r="P17" s="10">
        <v>-5.0205593992146302E-2</v>
      </c>
      <c r="Q17" s="10">
        <v>1.57916472457195</v>
      </c>
      <c r="R17" s="13"/>
      <c r="S17" s="20">
        <v>1.5707963267949001</v>
      </c>
      <c r="T17" s="13"/>
      <c r="U17" s="13">
        <f t="shared" si="0"/>
        <v>0</v>
      </c>
      <c r="V17" s="13">
        <f t="shared" si="1"/>
        <v>-8.8696183979748936E-3</v>
      </c>
      <c r="W17" s="13">
        <f t="shared" si="2"/>
        <v>1.7243759526971831</v>
      </c>
      <c r="X17" s="13">
        <f t="shared" si="3"/>
        <v>0.47947387391161911</v>
      </c>
      <c r="Z17" t="str">
        <f t="shared" si="4"/>
        <v>11.0943396226415,-6.79332375376079E-16</v>
      </c>
      <c r="AA17" t="str">
        <f t="shared" si="5"/>
        <v>11.0724282932255,0.2260094805574</v>
      </c>
      <c r="AB17" t="str">
        <f t="shared" si="6"/>
        <v>11.077259040272,0.138520008883262</v>
      </c>
      <c r="AC17" t="str">
        <f t="shared" si="7"/>
        <v>11.0824806757152,-0.0502055939921463</v>
      </c>
    </row>
    <row r="18" spans="2:29" x14ac:dyDescent="0.2">
      <c r="B18" s="3">
        <v>16</v>
      </c>
      <c r="C18" s="6">
        <v>11.8867924528302</v>
      </c>
      <c r="D18" s="6">
        <v>-7.2785611647436996E-16</v>
      </c>
      <c r="E18" s="8">
        <v>1.5707963267949001</v>
      </c>
      <c r="F18" s="7"/>
      <c r="G18" s="10">
        <v>11.8648811139189</v>
      </c>
      <c r="H18" s="10">
        <v>0.225886805654749</v>
      </c>
      <c r="I18" s="10">
        <v>1.6008923647116799</v>
      </c>
      <c r="K18" s="10">
        <v>11.869353006955601</v>
      </c>
      <c r="L18" s="10">
        <v>0.162366099075965</v>
      </c>
      <c r="M18" s="10">
        <v>1.5679157201765801</v>
      </c>
      <c r="N18" s="13"/>
      <c r="O18" s="10">
        <v>11.8749057582977</v>
      </c>
      <c r="P18" s="10">
        <v>-4.3574110890756003E-2</v>
      </c>
      <c r="Q18" s="10">
        <v>1.5472962511799699</v>
      </c>
      <c r="R18" s="13"/>
      <c r="S18" s="20">
        <v>1.5707963267949001</v>
      </c>
      <c r="T18" s="13"/>
      <c r="U18" s="13">
        <f t="shared" si="0"/>
        <v>0</v>
      </c>
      <c r="V18" s="13">
        <f t="shared" si="1"/>
        <v>1.7243759526971831</v>
      </c>
      <c r="W18" s="13">
        <f t="shared" si="2"/>
        <v>-0.16504660166718921</v>
      </c>
      <c r="X18" s="13">
        <f t="shared" si="3"/>
        <v>-1.3464551509738016</v>
      </c>
      <c r="Z18" t="str">
        <f t="shared" si="4"/>
        <v>11.8867924528302,-7.2785611647437E-16</v>
      </c>
      <c r="AA18" t="str">
        <f t="shared" si="5"/>
        <v>11.8648811139189,0.225886805654749</v>
      </c>
      <c r="AB18" t="str">
        <f t="shared" si="6"/>
        <v>11.8693530069556,0.162366099075965</v>
      </c>
      <c r="AC18" t="str">
        <f t="shared" si="7"/>
        <v>11.8749057582977,-0.043574110890756</v>
      </c>
    </row>
    <row r="19" spans="2:29" x14ac:dyDescent="0.2">
      <c r="B19" s="3">
        <v>17</v>
      </c>
      <c r="C19" s="6">
        <v>12.679245283018901</v>
      </c>
      <c r="D19" s="6">
        <v>-7.7637985757266201E-16</v>
      </c>
      <c r="E19" s="8">
        <v>1.5707963267949001</v>
      </c>
      <c r="F19" s="7"/>
      <c r="G19" s="10">
        <v>12.6569750806025</v>
      </c>
      <c r="H19" s="10">
        <v>0.24973289584745201</v>
      </c>
      <c r="I19" s="10">
        <v>1.5679157201765801</v>
      </c>
      <c r="K19" s="10">
        <v>12.6618025493015</v>
      </c>
      <c r="L19" s="10">
        <v>0.16008335736561299</v>
      </c>
      <c r="M19" s="10">
        <v>1.5909895567235799</v>
      </c>
      <c r="N19" s="13"/>
      <c r="O19" s="10">
        <v>12.667139781110601</v>
      </c>
      <c r="P19" s="10">
        <v>-6.2195098293277802E-2</v>
      </c>
      <c r="Q19" s="10">
        <v>1.5668609131864999</v>
      </c>
      <c r="R19" s="13"/>
      <c r="S19" s="20">
        <v>1.5707963267949001</v>
      </c>
      <c r="T19" s="13"/>
      <c r="U19" s="13">
        <f t="shared" si="0"/>
        <v>0</v>
      </c>
      <c r="V19" s="13">
        <f t="shared" si="1"/>
        <v>-0.16504660166718921</v>
      </c>
      <c r="W19" s="13">
        <f t="shared" si="2"/>
        <v>1.1569868496506117</v>
      </c>
      <c r="X19" s="13">
        <f t="shared" si="3"/>
        <v>-0.22548259039968258</v>
      </c>
      <c r="Z19" t="str">
        <f t="shared" si="4"/>
        <v>12.6792452830189,-7.76379857572662E-16</v>
      </c>
      <c r="AA19" t="str">
        <f t="shared" si="5"/>
        <v>12.6569750806025,0.249732895847452</v>
      </c>
      <c r="AB19" t="str">
        <f t="shared" si="6"/>
        <v>12.6618025493015,0.160083357365613</v>
      </c>
      <c r="AC19" t="str">
        <f t="shared" si="7"/>
        <v>12.6671397811106,-0.0621950982932778</v>
      </c>
    </row>
    <row r="20" spans="2:29" x14ac:dyDescent="0.2">
      <c r="B20" s="3">
        <v>18</v>
      </c>
      <c r="C20" s="6">
        <v>13.4716981132076</v>
      </c>
      <c r="D20" s="6">
        <v>-8.2490359867095298E-16</v>
      </c>
      <c r="E20" s="8">
        <v>1.5707963267949001</v>
      </c>
      <c r="F20" s="7"/>
      <c r="G20" s="10">
        <v>13.4494246229485</v>
      </c>
      <c r="H20" s="10">
        <v>0.2474501541371</v>
      </c>
      <c r="I20" s="10">
        <v>1.5909895567235799</v>
      </c>
      <c r="K20" s="10">
        <v>13.454093817107999</v>
      </c>
      <c r="L20" s="10">
        <v>0.17608445206968701</v>
      </c>
      <c r="M20" s="10">
        <v>1.57199390993251</v>
      </c>
      <c r="N20" s="13"/>
      <c r="O20" s="10">
        <v>13.4595864747584</v>
      </c>
      <c r="P20" s="10">
        <v>-6.5313719895264993E-2</v>
      </c>
      <c r="Q20" s="10">
        <v>1.5486620716744099</v>
      </c>
      <c r="R20" s="13"/>
      <c r="S20" s="20">
        <v>1.5707963267949001</v>
      </c>
      <c r="T20" s="13"/>
      <c r="U20" s="13">
        <f t="shared" si="0"/>
        <v>0</v>
      </c>
      <c r="V20" s="13">
        <f t="shared" si="1"/>
        <v>1.1569868496506117</v>
      </c>
      <c r="W20" s="13">
        <f t="shared" si="2"/>
        <v>6.8616459401080437E-2</v>
      </c>
      <c r="X20" s="13">
        <f t="shared" si="3"/>
        <v>-1.2681994010699178</v>
      </c>
      <c r="Z20" t="str">
        <f t="shared" si="4"/>
        <v>13.4716981132076,-8.24903598670953E-16</v>
      </c>
      <c r="AA20" t="str">
        <f t="shared" si="5"/>
        <v>13.4494246229485,0.2474501541371</v>
      </c>
      <c r="AB20" t="str">
        <f t="shared" si="6"/>
        <v>13.454093817108,0.176084452069687</v>
      </c>
      <c r="AC20" t="str">
        <f t="shared" si="7"/>
        <v>13.4595864747584,-0.065313719895265</v>
      </c>
    </row>
    <row r="21" spans="2:29" x14ac:dyDescent="0.2">
      <c r="B21" s="3">
        <v>19</v>
      </c>
      <c r="C21" s="6">
        <v>14.264150943396199</v>
      </c>
      <c r="D21" s="6">
        <v>-8.7342733976924405E-16</v>
      </c>
      <c r="E21" s="8">
        <v>1.5707963267949001</v>
      </c>
      <c r="F21" s="7"/>
      <c r="G21" s="10">
        <v>14.2417158907549</v>
      </c>
      <c r="H21" s="10">
        <v>0.26345124884117399</v>
      </c>
      <c r="I21" s="10">
        <v>1.57199390993251</v>
      </c>
      <c r="K21" s="10">
        <v>14.246546079026601</v>
      </c>
      <c r="L21" s="10">
        <v>0.17703347998962701</v>
      </c>
      <c r="M21" s="10">
        <v>1.63124220503073</v>
      </c>
      <c r="N21" s="13"/>
      <c r="O21" s="10">
        <v>14.251845191547</v>
      </c>
      <c r="P21" s="10">
        <v>-8.2852640801047095E-2</v>
      </c>
      <c r="Q21" s="10">
        <v>1.6050670316645299</v>
      </c>
      <c r="R21" s="13"/>
      <c r="S21" s="20">
        <v>1.5707963267949001</v>
      </c>
      <c r="T21" s="13"/>
      <c r="U21" s="13">
        <f t="shared" si="0"/>
        <v>0</v>
      </c>
      <c r="V21" s="13">
        <f t="shared" si="1"/>
        <v>6.8616459401080437E-2</v>
      </c>
      <c r="W21" s="13">
        <f t="shared" si="2"/>
        <v>3.4632937118747327</v>
      </c>
      <c r="X21" s="13">
        <f t="shared" si="3"/>
        <v>1.9635667499682257</v>
      </c>
      <c r="Z21" t="str">
        <f t="shared" si="4"/>
        <v>14.2641509433962,-8.73427339769244E-16</v>
      </c>
      <c r="AA21" t="str">
        <f t="shared" si="5"/>
        <v>14.2417158907549,0.263451248841174</v>
      </c>
      <c r="AB21" t="str">
        <f t="shared" si="6"/>
        <v>14.2465460790266,0.177033479989627</v>
      </c>
      <c r="AC21" t="str">
        <f t="shared" si="7"/>
        <v>14.251845191547,-0.0828526408010471</v>
      </c>
    </row>
    <row r="22" spans="2:29" x14ac:dyDescent="0.2">
      <c r="B22" s="3">
        <v>20</v>
      </c>
      <c r="C22" s="6">
        <v>15.0566037735849</v>
      </c>
      <c r="D22" s="6">
        <v>-9.219510808675359E-16</v>
      </c>
      <c r="E22" s="8">
        <v>1.5707963267949001</v>
      </c>
      <c r="F22" s="7"/>
      <c r="G22" s="10">
        <v>15.034168152673599</v>
      </c>
      <c r="H22" s="10">
        <v>0.26440027676111399</v>
      </c>
      <c r="I22" s="10">
        <v>1.63124220503073</v>
      </c>
      <c r="K22" s="10">
        <v>15.0375516558335</v>
      </c>
      <c r="L22" s="10">
        <v>0.22490482355173699</v>
      </c>
      <c r="M22" s="10">
        <v>1.6015151791532201</v>
      </c>
      <c r="N22" s="13"/>
      <c r="O22" s="10">
        <v>15.0438327068</v>
      </c>
      <c r="P22" s="10">
        <v>-5.5700039499599702E-2</v>
      </c>
      <c r="Q22" s="10">
        <v>1.5724522451720599</v>
      </c>
      <c r="R22" s="13"/>
      <c r="S22" s="20">
        <v>1.5707963267949001</v>
      </c>
      <c r="T22" s="13"/>
      <c r="U22" s="13">
        <f t="shared" si="0"/>
        <v>0</v>
      </c>
      <c r="V22" s="13">
        <f t="shared" si="1"/>
        <v>3.4632937118747327</v>
      </c>
      <c r="W22" s="13">
        <f t="shared" si="2"/>
        <v>1.7600605916172287</v>
      </c>
      <c r="X22" s="13">
        <f t="shared" si="3"/>
        <v>9.4877134229411131E-2</v>
      </c>
      <c r="Z22" t="str">
        <f t="shared" si="4"/>
        <v>15.0566037735849,-9.21951080867536E-16</v>
      </c>
      <c r="AA22" t="str">
        <f t="shared" si="5"/>
        <v>15.0341681526736,0.264400276761114</v>
      </c>
      <c r="AB22" t="str">
        <f t="shared" si="6"/>
        <v>15.0375516558335,0.224904823551737</v>
      </c>
      <c r="AC22" t="str">
        <f t="shared" si="7"/>
        <v>15.0438327068,-0.0557000394995997</v>
      </c>
    </row>
    <row r="23" spans="2:29" x14ac:dyDescent="0.2">
      <c r="B23" s="3">
        <v>21</v>
      </c>
      <c r="C23" s="6">
        <v>15.849056603773599</v>
      </c>
      <c r="D23" s="6">
        <v>-9.7047482196582707E-16</v>
      </c>
      <c r="E23" s="8">
        <v>1.5707963267949001</v>
      </c>
      <c r="F23" s="7"/>
      <c r="G23" s="10">
        <v>15.8251737294805</v>
      </c>
      <c r="H23" s="10">
        <v>0.31227162032322398</v>
      </c>
      <c r="I23" s="10">
        <v>1.6015151791532201</v>
      </c>
      <c r="K23" s="10">
        <v>15.829630617203</v>
      </c>
      <c r="L23" s="10">
        <v>0.24924423664912801</v>
      </c>
      <c r="M23" s="10">
        <v>1.65886859077194</v>
      </c>
      <c r="N23" s="13"/>
      <c r="O23" s="10">
        <v>15.83628445051</v>
      </c>
      <c r="P23" s="10">
        <v>-5.4387802894763297E-2</v>
      </c>
      <c r="Q23" s="10">
        <v>1.6254840351459401</v>
      </c>
      <c r="R23" s="13"/>
      <c r="S23" s="20">
        <v>1.5707963267949001</v>
      </c>
      <c r="T23" s="13"/>
      <c r="U23" s="13">
        <f t="shared" si="0"/>
        <v>0</v>
      </c>
      <c r="V23" s="13">
        <f t="shared" si="1"/>
        <v>1.7600605916172287</v>
      </c>
      <c r="W23" s="13">
        <f t="shared" si="2"/>
        <v>5.0461690180464629</v>
      </c>
      <c r="X23" s="13">
        <f t="shared" si="3"/>
        <v>3.1333748797569374</v>
      </c>
      <c r="Z23" t="str">
        <f t="shared" si="4"/>
        <v>15.8490566037736,-9.70474821965827E-16</v>
      </c>
      <c r="AA23" t="str">
        <f t="shared" si="5"/>
        <v>15.8251737294805,0.312271620323224</v>
      </c>
      <c r="AB23" t="str">
        <f t="shared" si="6"/>
        <v>15.829630617203,0.249244236649128</v>
      </c>
      <c r="AC23" t="str">
        <f t="shared" si="7"/>
        <v>15.83628445051,-0.0543878028947633</v>
      </c>
    </row>
    <row r="24" spans="2:29" x14ac:dyDescent="0.2">
      <c r="B24" s="3">
        <v>22</v>
      </c>
      <c r="C24" s="6">
        <v>16.641509433962302</v>
      </c>
      <c r="D24" s="6">
        <v>-1.01899856306412E-15</v>
      </c>
      <c r="E24" s="8">
        <v>1.5707963267949001</v>
      </c>
      <c r="F24" s="7"/>
      <c r="G24" s="10">
        <v>16.617252690849998</v>
      </c>
      <c r="H24" s="10">
        <v>0.33661103342061499</v>
      </c>
      <c r="I24" s="10">
        <v>1.65886859077194</v>
      </c>
      <c r="K24" s="10">
        <v>16.619012014699099</v>
      </c>
      <c r="L24" s="10">
        <v>0.318947158834813</v>
      </c>
      <c r="M24" s="10">
        <v>1.6065427495496301</v>
      </c>
      <c r="N24" s="13"/>
      <c r="O24" s="10">
        <v>16.627552563662402</v>
      </c>
      <c r="P24" s="10">
        <v>-1.1071972275251101E-2</v>
      </c>
      <c r="Q24" s="10">
        <v>1.5745025630864999</v>
      </c>
      <c r="R24" s="13"/>
      <c r="S24" s="20">
        <v>1.5707963267949001</v>
      </c>
      <c r="T24" s="13"/>
      <c r="U24" s="13">
        <f t="shared" si="0"/>
        <v>0</v>
      </c>
      <c r="V24" s="13">
        <f t="shared" si="1"/>
        <v>5.0461690180464629</v>
      </c>
      <c r="W24" s="13">
        <f t="shared" si="2"/>
        <v>2.0481191565364356</v>
      </c>
      <c r="X24" s="13">
        <f t="shared" si="3"/>
        <v>0.21235169738688769</v>
      </c>
      <c r="Z24" t="str">
        <f t="shared" si="4"/>
        <v>16.6415094339623,-1.01899856306412E-15</v>
      </c>
      <c r="AA24" t="str">
        <f t="shared" si="5"/>
        <v>16.61725269085,0.336611033420615</v>
      </c>
      <c r="AB24" t="str">
        <f t="shared" si="6"/>
        <v>16.6190120146991,0.318947158834813</v>
      </c>
      <c r="AC24" t="str">
        <f t="shared" si="7"/>
        <v>16.6275525636624,-0.0110719722752511</v>
      </c>
    </row>
    <row r="25" spans="2:29" x14ac:dyDescent="0.2">
      <c r="B25" s="3">
        <v>23</v>
      </c>
      <c r="C25" s="6">
        <v>17.4339622641509</v>
      </c>
      <c r="D25" s="6">
        <v>-1.06752230416241E-15</v>
      </c>
      <c r="E25" s="8">
        <v>1.5707963267949001</v>
      </c>
      <c r="F25" s="7"/>
      <c r="G25" s="10">
        <v>17.406634088345999</v>
      </c>
      <c r="H25" s="10">
        <v>0.40631395560630001</v>
      </c>
      <c r="I25" s="10">
        <v>1.6065427495496301</v>
      </c>
      <c r="K25" s="10">
        <v>17.410958598014599</v>
      </c>
      <c r="L25" s="10">
        <v>0.34726848028739998</v>
      </c>
      <c r="M25" s="10">
        <v>1.63340595478971</v>
      </c>
      <c r="N25" s="13"/>
      <c r="O25" s="10">
        <v>17.419999951217001</v>
      </c>
      <c r="P25" s="10">
        <v>-8.1349615605239203E-3</v>
      </c>
      <c r="Q25" s="10">
        <v>1.6009914456838401</v>
      </c>
      <c r="R25" s="13"/>
      <c r="S25" s="20">
        <v>1.5707963267949001</v>
      </c>
      <c r="T25" s="13"/>
      <c r="U25" s="13">
        <f t="shared" si="0"/>
        <v>0</v>
      </c>
      <c r="V25" s="13">
        <f t="shared" si="1"/>
        <v>2.0481191565364356</v>
      </c>
      <c r="W25" s="13">
        <f t="shared" si="2"/>
        <v>3.5872674409867318</v>
      </c>
      <c r="X25" s="13">
        <f t="shared" si="3"/>
        <v>1.7300528742320134</v>
      </c>
      <c r="Z25" t="str">
        <f t="shared" si="4"/>
        <v>17.4339622641509,-1.06752230416241E-15</v>
      </c>
      <c r="AA25" t="str">
        <f t="shared" si="5"/>
        <v>17.406634088346,0.4063139556063</v>
      </c>
      <c r="AB25" t="str">
        <f t="shared" si="6"/>
        <v>17.4109585980146,0.3472684802874</v>
      </c>
      <c r="AC25" t="str">
        <f t="shared" si="7"/>
        <v>17.419999951217,-0.00813496156052392</v>
      </c>
    </row>
    <row r="26" spans="2:29" x14ac:dyDescent="0.2">
      <c r="B26" s="3">
        <v>24</v>
      </c>
      <c r="C26" s="6">
        <v>18.2264150943396</v>
      </c>
      <c r="D26" s="6">
        <v>-1.1160460452607E-15</v>
      </c>
      <c r="E26" s="8">
        <v>1.5707963267949001</v>
      </c>
      <c r="F26" s="7"/>
      <c r="G26" s="10">
        <v>18.198580671661599</v>
      </c>
      <c r="H26" s="10">
        <v>0.43463527705888699</v>
      </c>
      <c r="I26" s="10">
        <v>1.63340595478971</v>
      </c>
      <c r="K26" s="10">
        <v>18.2018587416249</v>
      </c>
      <c r="L26" s="10">
        <v>0.39685124857786902</v>
      </c>
      <c r="M26" s="10">
        <v>1.5858352729803</v>
      </c>
      <c r="N26" s="13"/>
      <c r="O26" s="10">
        <v>18.212091551318899</v>
      </c>
      <c r="P26" s="10">
        <v>1.5789609955259999E-2</v>
      </c>
      <c r="Q26" s="10">
        <v>1.55171347506682</v>
      </c>
      <c r="R26" s="13"/>
      <c r="S26" s="20">
        <v>1.5707963267949001</v>
      </c>
      <c r="T26" s="13"/>
      <c r="U26" s="13">
        <f t="shared" si="0"/>
        <v>0</v>
      </c>
      <c r="V26" s="13">
        <f t="shared" si="1"/>
        <v>3.5872674409867318</v>
      </c>
      <c r="W26" s="13">
        <f t="shared" si="2"/>
        <v>0.86166814474778397</v>
      </c>
      <c r="X26" s="13">
        <f t="shared" si="3"/>
        <v>-1.0933668650929198</v>
      </c>
      <c r="Z26" t="str">
        <f t="shared" si="4"/>
        <v>18.2264150943396,-1.1160460452607E-15</v>
      </c>
      <c r="AA26" t="str">
        <f t="shared" si="5"/>
        <v>18.1985806716616,0.434635277058887</v>
      </c>
      <c r="AB26" t="str">
        <f t="shared" si="6"/>
        <v>18.2018587416249,0.396851248577869</v>
      </c>
      <c r="AC26" t="str">
        <f t="shared" si="7"/>
        <v>18.2120915513189,0.01578960995526</v>
      </c>
    </row>
    <row r="27" spans="2:29" x14ac:dyDescent="0.2">
      <c r="B27" s="3">
        <v>25</v>
      </c>
      <c r="C27" s="6">
        <v>19.018867924528301</v>
      </c>
      <c r="D27" s="6">
        <v>-1.16456978635899E-15</v>
      </c>
      <c r="E27" s="8">
        <v>1.5707963267949001</v>
      </c>
      <c r="F27" s="7"/>
      <c r="G27" s="10">
        <v>18.989480815271801</v>
      </c>
      <c r="H27" s="10">
        <v>0.48421804534935597</v>
      </c>
      <c r="I27" s="10">
        <v>1.5858352729803</v>
      </c>
      <c r="K27" s="10">
        <v>18.994221959012901</v>
      </c>
      <c r="L27" s="10">
        <v>0.40876845481479601</v>
      </c>
      <c r="M27" s="10">
        <v>1.63446846326106</v>
      </c>
      <c r="N27" s="13"/>
      <c r="O27" s="10">
        <v>19.004400097964702</v>
      </c>
      <c r="P27" s="10">
        <v>6.6826788690324199E-4</v>
      </c>
      <c r="Q27" s="10">
        <v>1.59984412943618</v>
      </c>
      <c r="R27" s="13"/>
      <c r="S27" s="20">
        <v>1.5707963267949001</v>
      </c>
      <c r="T27" s="13"/>
      <c r="U27" s="13">
        <f t="shared" si="0"/>
        <v>0</v>
      </c>
      <c r="V27" s="13">
        <f t="shared" si="1"/>
        <v>0.86166814474778397</v>
      </c>
      <c r="W27" s="13">
        <f t="shared" si="2"/>
        <v>3.6481446920919849</v>
      </c>
      <c r="X27" s="13">
        <f t="shared" si="3"/>
        <v>1.6643164954743053</v>
      </c>
      <c r="Z27" t="str">
        <f t="shared" si="4"/>
        <v>19.0188679245283,-1.16456978635899E-15</v>
      </c>
      <c r="AA27" t="str">
        <f t="shared" si="5"/>
        <v>18.9894808152718,0.484218045349356</v>
      </c>
      <c r="AB27" t="str">
        <f t="shared" si="6"/>
        <v>18.9942219590129,0.408768454814796</v>
      </c>
      <c r="AC27" t="str">
        <f t="shared" si="7"/>
        <v>19.0044000979647,0.000668267886903242</v>
      </c>
    </row>
    <row r="28" spans="2:29" x14ac:dyDescent="0.2">
      <c r="B28" s="3">
        <v>26</v>
      </c>
      <c r="C28" s="6">
        <v>19.811320754716998</v>
      </c>
      <c r="D28" s="6">
        <v>-1.2130935274572799E-15</v>
      </c>
      <c r="E28" s="8">
        <v>1.5707963267949001</v>
      </c>
      <c r="F28" s="7"/>
      <c r="G28" s="10">
        <v>19.781844032659901</v>
      </c>
      <c r="H28" s="10">
        <v>0.49613525158628302</v>
      </c>
      <c r="I28" s="10">
        <v>1.63446846326106</v>
      </c>
      <c r="K28" s="10">
        <v>19.785068974088599</v>
      </c>
      <c r="L28" s="10">
        <v>0.459191533062136</v>
      </c>
      <c r="M28" s="10">
        <v>1.6269372165804901</v>
      </c>
      <c r="N28" s="13"/>
      <c r="O28" s="10">
        <v>19.796518625781399</v>
      </c>
      <c r="P28" s="10">
        <v>2.3684044293264799E-2</v>
      </c>
      <c r="Q28" s="10">
        <v>1.58819302032311</v>
      </c>
      <c r="R28" s="13"/>
      <c r="S28" s="20">
        <v>1.5707963267949001</v>
      </c>
      <c r="T28" s="13"/>
      <c r="U28" s="13">
        <f t="shared" si="0"/>
        <v>0</v>
      </c>
      <c r="V28" s="13">
        <f t="shared" si="1"/>
        <v>3.6481446920919849</v>
      </c>
      <c r="W28" s="13">
        <f t="shared" si="2"/>
        <v>3.216636042823418</v>
      </c>
      <c r="X28" s="13">
        <f t="shared" si="3"/>
        <v>0.99675711664898281</v>
      </c>
      <c r="Z28" t="str">
        <f t="shared" si="4"/>
        <v>19.811320754717,-1.21309352745728E-15</v>
      </c>
      <c r="AA28" t="str">
        <f t="shared" si="5"/>
        <v>19.7818440326599,0.496135251586283</v>
      </c>
      <c r="AB28" t="str">
        <f t="shared" si="6"/>
        <v>19.7850689740886,0.459191533062136</v>
      </c>
      <c r="AC28" t="str">
        <f t="shared" si="7"/>
        <v>19.7965186257814,0.0236840442932648</v>
      </c>
    </row>
    <row r="29" spans="2:29" x14ac:dyDescent="0.2">
      <c r="B29" s="3">
        <v>27</v>
      </c>
      <c r="C29" s="6">
        <v>20.603773584905699</v>
      </c>
      <c r="D29" s="6">
        <v>-1.26161726855558E-15</v>
      </c>
      <c r="E29" s="8">
        <v>1.5707963267949001</v>
      </c>
      <c r="F29" s="7"/>
      <c r="G29" s="10">
        <v>20.572691047735599</v>
      </c>
      <c r="H29" s="10">
        <v>0.54655832983362296</v>
      </c>
      <c r="I29" s="10">
        <v>1.6269372165804901</v>
      </c>
      <c r="K29" s="10">
        <v>20.576273306027701</v>
      </c>
      <c r="L29" s="10">
        <v>0.50365717367294205</v>
      </c>
      <c r="M29" s="10">
        <v>1.5908024807968999</v>
      </c>
      <c r="N29" s="13"/>
      <c r="O29" s="10">
        <v>20.588851543072501</v>
      </c>
      <c r="P29" s="10">
        <v>3.7469407945964602E-2</v>
      </c>
      <c r="Q29" s="10">
        <v>1.55713186109885</v>
      </c>
      <c r="R29" s="13"/>
      <c r="S29" s="20">
        <v>1.5707963267949001</v>
      </c>
      <c r="T29" s="13"/>
      <c r="U29" s="13">
        <f t="shared" si="0"/>
        <v>0</v>
      </c>
      <c r="V29" s="13">
        <f t="shared" si="1"/>
        <v>3.216636042823418</v>
      </c>
      <c r="W29" s="13">
        <f t="shared" si="2"/>
        <v>1.1462681886033494</v>
      </c>
      <c r="X29" s="13">
        <f t="shared" si="3"/>
        <v>-0.78291621368496156</v>
      </c>
      <c r="Z29" t="str">
        <f t="shared" si="4"/>
        <v>20.6037735849057,-1.26161726855558E-15</v>
      </c>
      <c r="AA29" t="str">
        <f t="shared" si="5"/>
        <v>20.5726910477356,0.546558329833623</v>
      </c>
      <c r="AB29" t="str">
        <f t="shared" si="6"/>
        <v>20.5762733060277,0.503657173672942</v>
      </c>
      <c r="AC29" t="str">
        <f t="shared" si="7"/>
        <v>20.5888515430725,0.0374694079459646</v>
      </c>
    </row>
    <row r="30" spans="2:29" x14ac:dyDescent="0.2">
      <c r="B30" s="3">
        <v>28</v>
      </c>
      <c r="C30" s="6">
        <v>21.396226415094301</v>
      </c>
      <c r="D30" s="6">
        <v>-1.31014100965387E-15</v>
      </c>
      <c r="E30" s="8">
        <v>1.5707963267949001</v>
      </c>
      <c r="F30" s="7"/>
      <c r="G30" s="10">
        <v>21.363895379674599</v>
      </c>
      <c r="H30" s="10">
        <v>0.591023970444429</v>
      </c>
      <c r="I30" s="10">
        <v>1.5908024807968999</v>
      </c>
      <c r="K30" s="10">
        <v>21.3685675533896</v>
      </c>
      <c r="L30" s="10">
        <v>0.51951004947475699</v>
      </c>
      <c r="M30" s="10">
        <v>1.53731307737711</v>
      </c>
      <c r="N30" s="13"/>
      <c r="O30" s="10">
        <v>21.381230391957999</v>
      </c>
      <c r="P30" s="10">
        <v>2.6641300405874101E-2</v>
      </c>
      <c r="Q30" s="10">
        <v>1.5010013353429199</v>
      </c>
      <c r="R30" s="13"/>
      <c r="S30" s="20">
        <v>1.5707963267949001</v>
      </c>
      <c r="T30" s="13"/>
      <c r="U30" s="13">
        <f t="shared" si="0"/>
        <v>0</v>
      </c>
      <c r="V30" s="13">
        <f t="shared" si="1"/>
        <v>1.1462681886033494</v>
      </c>
      <c r="W30" s="13">
        <f t="shared" si="2"/>
        <v>-1.9184488760232452</v>
      </c>
      <c r="X30" s="13">
        <f t="shared" si="3"/>
        <v>-3.9989584413501231</v>
      </c>
      <c r="Z30" t="str">
        <f t="shared" si="4"/>
        <v>21.3962264150943,-1.31014100965387E-15</v>
      </c>
      <c r="AA30" t="str">
        <f t="shared" si="5"/>
        <v>21.3638953796746,0.591023970444429</v>
      </c>
      <c r="AB30" t="str">
        <f t="shared" si="6"/>
        <v>21.3685675533896,0.519510049474757</v>
      </c>
      <c r="AC30" t="str">
        <f t="shared" si="7"/>
        <v>21.381230391958,0.0266413004058741</v>
      </c>
    </row>
    <row r="31" spans="2:29" x14ac:dyDescent="0.2">
      <c r="B31" s="3">
        <v>29</v>
      </c>
      <c r="C31" s="6">
        <v>22.188679245283002</v>
      </c>
      <c r="D31" s="6">
        <v>-1.3586647507521599E-15</v>
      </c>
      <c r="E31" s="8">
        <v>1.5707963267949001</v>
      </c>
      <c r="F31" s="7"/>
      <c r="G31" s="10">
        <v>22.1561896270366</v>
      </c>
      <c r="H31" s="10">
        <v>0.60687684624624405</v>
      </c>
      <c r="I31" s="10">
        <v>1.53731307737711</v>
      </c>
      <c r="K31" s="10">
        <v>22.160576204554101</v>
      </c>
      <c r="L31" s="10">
        <v>0.49298111141401302</v>
      </c>
      <c r="M31" s="10">
        <v>1.62661405140339</v>
      </c>
      <c r="N31" s="13"/>
      <c r="O31" s="10">
        <v>22.171753851641501</v>
      </c>
      <c r="P31" s="10">
        <v>-2.8623044014031498E-2</v>
      </c>
      <c r="Q31" s="10">
        <v>1.59493087855171</v>
      </c>
      <c r="R31" s="13"/>
      <c r="S31" s="20">
        <v>1.5707963267949001</v>
      </c>
      <c r="T31" s="13"/>
      <c r="U31" s="13">
        <f t="shared" si="0"/>
        <v>0</v>
      </c>
      <c r="V31" s="13">
        <f t="shared" si="1"/>
        <v>-1.9184488760232452</v>
      </c>
      <c r="W31" s="13">
        <f t="shared" si="2"/>
        <v>3.1981200420899856</v>
      </c>
      <c r="X31" s="13">
        <f t="shared" si="3"/>
        <v>1.3828079561052535</v>
      </c>
      <c r="Z31" t="str">
        <f t="shared" si="4"/>
        <v>22.188679245283,-1.35866475075216E-15</v>
      </c>
      <c r="AA31" t="str">
        <f t="shared" si="5"/>
        <v>22.1561896270366,0.606876846246244</v>
      </c>
      <c r="AB31" t="str">
        <f t="shared" si="6"/>
        <v>22.1605762045541,0.492981111414013</v>
      </c>
      <c r="AC31" t="str">
        <f t="shared" si="7"/>
        <v>22.1717538516415,-0.0286230440140315</v>
      </c>
    </row>
    <row r="32" spans="2:29" x14ac:dyDescent="0.2">
      <c r="B32" s="3">
        <v>30</v>
      </c>
      <c r="C32" s="6">
        <v>22.981132075471699</v>
      </c>
      <c r="D32" s="6">
        <v>-1.4071884918504499E-15</v>
      </c>
      <c r="E32" s="8">
        <v>1.5707963267949001</v>
      </c>
      <c r="F32" s="7"/>
      <c r="G32" s="10">
        <v>22.948198278201101</v>
      </c>
      <c r="H32" s="10">
        <v>0.58034790818549997</v>
      </c>
      <c r="I32" s="10">
        <v>1.62661405140339</v>
      </c>
      <c r="K32" s="10">
        <v>22.951794864924601</v>
      </c>
      <c r="L32" s="10">
        <v>0.53719106001931205</v>
      </c>
      <c r="M32" s="10">
        <v>1.6359043754729099</v>
      </c>
      <c r="N32" s="13"/>
      <c r="O32" s="10">
        <v>22.963975900422</v>
      </c>
      <c r="P32" s="10">
        <v>-9.4994068070015994E-3</v>
      </c>
      <c r="Q32" s="10">
        <v>1.6054449064862499</v>
      </c>
      <c r="R32" s="13"/>
      <c r="S32" s="20">
        <v>1.5707963267949001</v>
      </c>
      <c r="T32" s="13"/>
      <c r="U32" s="13">
        <f t="shared" si="0"/>
        <v>0</v>
      </c>
      <c r="V32" s="13">
        <f t="shared" si="1"/>
        <v>3.1981200420899856</v>
      </c>
      <c r="W32" s="13">
        <f t="shared" si="2"/>
        <v>3.7304164015822798</v>
      </c>
      <c r="X32" s="13">
        <f t="shared" si="3"/>
        <v>1.9852173824370414</v>
      </c>
      <c r="Z32" t="str">
        <f t="shared" si="4"/>
        <v>22.9811320754717,-1.40718849185045E-15</v>
      </c>
      <c r="AA32" t="str">
        <f t="shared" si="5"/>
        <v>22.9481982782011,0.5803479081855</v>
      </c>
      <c r="AB32" t="str">
        <f t="shared" si="6"/>
        <v>22.9517948649246,0.537191060019312</v>
      </c>
      <c r="AC32" t="str">
        <f t="shared" si="7"/>
        <v>22.963975900422,-0.0094994068070016</v>
      </c>
    </row>
    <row r="33" spans="2:29" x14ac:dyDescent="0.2">
      <c r="B33" s="3">
        <v>31</v>
      </c>
      <c r="C33" s="6">
        <v>23.7735849056604</v>
      </c>
      <c r="D33" s="6">
        <v>-1.4557122329487399E-15</v>
      </c>
      <c r="E33" s="8">
        <v>1.5707963267949001</v>
      </c>
      <c r="F33" s="7"/>
      <c r="G33" s="10">
        <v>23.739416938571502</v>
      </c>
      <c r="H33" s="10">
        <v>0.624557856790799</v>
      </c>
      <c r="I33" s="10">
        <v>1.6359043754729099</v>
      </c>
      <c r="K33" s="10">
        <v>23.742568661609901</v>
      </c>
      <c r="L33" s="10">
        <v>0.58874967278082002</v>
      </c>
      <c r="M33" s="10">
        <v>1.7036444264725099</v>
      </c>
      <c r="N33" s="13"/>
      <c r="O33" s="10">
        <v>23.755953098847201</v>
      </c>
      <c r="P33" s="10">
        <v>1.7952464689906401E-2</v>
      </c>
      <c r="Q33" s="10">
        <v>1.6607531019664601</v>
      </c>
      <c r="R33" s="13"/>
      <c r="S33" s="20">
        <v>1.5707963267949001</v>
      </c>
      <c r="T33" s="13"/>
      <c r="U33" s="13">
        <f t="shared" si="0"/>
        <v>0</v>
      </c>
      <c r="V33" s="13">
        <f t="shared" si="1"/>
        <v>3.7304164015822798</v>
      </c>
      <c r="W33" s="13">
        <f t="shared" si="2"/>
        <v>7.6116354278603131</v>
      </c>
      <c r="X33" s="13">
        <f t="shared" si="3"/>
        <v>5.1541435559376181</v>
      </c>
      <c r="Z33" t="str">
        <f t="shared" si="4"/>
        <v>23.7735849056604,-1.45571223294874E-15</v>
      </c>
      <c r="AA33" t="str">
        <f t="shared" si="5"/>
        <v>23.7394169385715,0.624557856790799</v>
      </c>
      <c r="AB33" t="str">
        <f t="shared" si="6"/>
        <v>23.7425686616099,0.58874967278082</v>
      </c>
      <c r="AC33" t="str">
        <f t="shared" si="7"/>
        <v>23.7559530988472,0.0179524646899064</v>
      </c>
    </row>
    <row r="34" spans="2:29" x14ac:dyDescent="0.2">
      <c r="B34" s="3">
        <v>32</v>
      </c>
      <c r="C34" s="6">
        <v>24.5660377358491</v>
      </c>
      <c r="D34" s="6">
        <v>-1.5042359740470301E-15</v>
      </c>
      <c r="E34" s="8">
        <v>1.5707963267949001</v>
      </c>
      <c r="F34" s="7"/>
      <c r="G34" s="10">
        <v>24.530190735256902</v>
      </c>
      <c r="H34" s="10">
        <v>0.67611646955230698</v>
      </c>
      <c r="I34" s="10">
        <v>1.7036444264725099</v>
      </c>
      <c r="K34" s="10">
        <v>24.5280389217811</v>
      </c>
      <c r="L34" s="10">
        <v>0.69371613628568096</v>
      </c>
      <c r="M34" s="10">
        <v>1.6616676625890201</v>
      </c>
      <c r="N34" s="13"/>
      <c r="O34" s="10">
        <v>24.545201738786599</v>
      </c>
      <c r="P34" s="10">
        <v>8.9142860304584806E-2</v>
      </c>
      <c r="Q34" s="10">
        <v>1.6240231167419299</v>
      </c>
      <c r="R34" s="13"/>
      <c r="S34" s="20">
        <v>1.5707963267949001</v>
      </c>
      <c r="T34" s="13"/>
      <c r="U34" s="13">
        <f t="shared" si="0"/>
        <v>0</v>
      </c>
      <c r="V34" s="13">
        <f t="shared" si="1"/>
        <v>7.6116354278603131</v>
      </c>
      <c r="W34" s="13">
        <f t="shared" si="2"/>
        <v>5.2065440197191641</v>
      </c>
      <c r="X34" s="13">
        <f t="shared" si="3"/>
        <v>3.0496704209941656</v>
      </c>
      <c r="Z34" t="str">
        <f t="shared" si="4"/>
        <v>24.5660377358491,-1.50423597404703E-15</v>
      </c>
      <c r="AA34" t="str">
        <f t="shared" si="5"/>
        <v>24.5301907352569,0.676116469552307</v>
      </c>
      <c r="AB34" t="str">
        <f t="shared" si="6"/>
        <v>24.5280389217811,0.693716136285681</v>
      </c>
      <c r="AC34" t="str">
        <f t="shared" si="7"/>
        <v>24.5452017387866,0.0891428603045848</v>
      </c>
    </row>
    <row r="35" spans="2:29" x14ac:dyDescent="0.2">
      <c r="B35" s="3">
        <v>33</v>
      </c>
      <c r="C35" s="6">
        <v>25.358490566037698</v>
      </c>
      <c r="D35" s="6">
        <v>-1.5527597151453201E-15</v>
      </c>
      <c r="E35" s="8">
        <v>1.5707963267949001</v>
      </c>
      <c r="F35" s="7"/>
      <c r="G35" s="10">
        <v>25.315660995428001</v>
      </c>
      <c r="H35" s="10">
        <v>0.78108293305716803</v>
      </c>
      <c r="I35" s="10">
        <v>1.6616676625890201</v>
      </c>
      <c r="K35" s="10">
        <v>25.3172221237249</v>
      </c>
      <c r="L35" s="10">
        <v>0.76562831775465601</v>
      </c>
      <c r="M35" s="10">
        <v>1.69655838887719</v>
      </c>
      <c r="N35" s="13"/>
      <c r="O35" s="10">
        <v>25.336532288415899</v>
      </c>
      <c r="P35" s="10">
        <v>0.13130266696218701</v>
      </c>
      <c r="Q35" s="10">
        <v>1.6534295234660099</v>
      </c>
      <c r="R35" s="13"/>
      <c r="S35" s="20">
        <v>1.5707963267949001</v>
      </c>
      <c r="T35" s="13"/>
      <c r="U35" s="13">
        <f t="shared" si="0"/>
        <v>0</v>
      </c>
      <c r="V35" s="13">
        <f t="shared" si="1"/>
        <v>5.2065440197191641</v>
      </c>
      <c r="W35" s="13">
        <f t="shared" si="2"/>
        <v>7.2056353801774522</v>
      </c>
      <c r="X35" s="13">
        <f t="shared" si="3"/>
        <v>4.7345334169290751</v>
      </c>
      <c r="Z35" t="str">
        <f t="shared" si="4"/>
        <v>25.3584905660377,-1.55275971514532E-15</v>
      </c>
      <c r="AA35" t="str">
        <f t="shared" si="5"/>
        <v>25.315660995428,0.781082933057168</v>
      </c>
      <c r="AB35" t="str">
        <f t="shared" si="6"/>
        <v>25.3172221237249,0.765628317754656</v>
      </c>
      <c r="AC35" t="str">
        <f t="shared" si="7"/>
        <v>25.3365322884159,0.131302666962187</v>
      </c>
    </row>
    <row r="36" spans="2:29" x14ac:dyDescent="0.2">
      <c r="B36" s="3">
        <v>34</v>
      </c>
      <c r="C36" s="6">
        <v>26.150943396226399</v>
      </c>
      <c r="D36" s="6">
        <v>-1.6012834562436101E-15</v>
      </c>
      <c r="E36" s="8">
        <v>1.5707963267949001</v>
      </c>
      <c r="F36" s="7"/>
      <c r="G36" s="10">
        <v>26.1048441973719</v>
      </c>
      <c r="H36" s="10">
        <v>0.85299511452614296</v>
      </c>
      <c r="I36" s="10">
        <v>1.69655838887719</v>
      </c>
      <c r="K36" s="10">
        <v>26.103416454072299</v>
      </c>
      <c r="L36" s="10">
        <v>0.86502632077140496</v>
      </c>
      <c r="M36" s="10">
        <v>1.65785133047533</v>
      </c>
      <c r="N36" s="13"/>
      <c r="O36" s="10">
        <v>26.126281126642901</v>
      </c>
      <c r="P36" s="10">
        <v>0.196711080742207</v>
      </c>
      <c r="Q36" s="10">
        <v>1.61545210670483</v>
      </c>
      <c r="R36" s="13"/>
      <c r="S36" s="20">
        <v>1.5707963267949001</v>
      </c>
      <c r="T36" s="13"/>
      <c r="U36" s="13">
        <f t="shared" si="0"/>
        <v>0</v>
      </c>
      <c r="V36" s="13">
        <f t="shared" si="1"/>
        <v>7.2056353801774522</v>
      </c>
      <c r="W36" s="13">
        <f t="shared" si="2"/>
        <v>4.9878842963844781</v>
      </c>
      <c r="X36" s="13">
        <f t="shared" si="3"/>
        <v>2.5585877197040729</v>
      </c>
      <c r="Z36" t="str">
        <f t="shared" si="4"/>
        <v>26.1509433962264,-1.60128345624361E-15</v>
      </c>
      <c r="AA36" t="str">
        <f t="shared" si="5"/>
        <v>26.1048441973719,0.852995114526143</v>
      </c>
      <c r="AB36" t="str">
        <f t="shared" si="6"/>
        <v>26.1034164540723,0.865026320771405</v>
      </c>
      <c r="AC36" t="str">
        <f t="shared" si="7"/>
        <v>26.1262811266429,0.196711080742207</v>
      </c>
    </row>
    <row r="37" spans="2:29" x14ac:dyDescent="0.2">
      <c r="B37" s="3">
        <v>35</v>
      </c>
      <c r="C37" s="6">
        <v>26.9433962264151</v>
      </c>
      <c r="D37" s="6">
        <v>-1.6498071973419101E-15</v>
      </c>
      <c r="E37" s="8">
        <v>1.5707963267949001</v>
      </c>
      <c r="F37" s="7"/>
      <c r="G37" s="10">
        <v>26.891038527719299</v>
      </c>
      <c r="H37" s="10">
        <v>0.95239311754289202</v>
      </c>
      <c r="I37" s="10">
        <v>1.65785133047533</v>
      </c>
      <c r="K37" s="10">
        <v>26.892868349138201</v>
      </c>
      <c r="L37" s="10">
        <v>0.933926200676097</v>
      </c>
      <c r="M37" s="10">
        <v>1.6553807101321401</v>
      </c>
      <c r="N37" s="13"/>
      <c r="O37" s="10">
        <v>26.917943957705202</v>
      </c>
      <c r="P37" s="10">
        <v>0.23208691979203</v>
      </c>
      <c r="Q37" s="10">
        <v>1.60705101906972</v>
      </c>
      <c r="R37" s="13"/>
      <c r="S37" s="20">
        <v>1.5707963267949001</v>
      </c>
      <c r="T37" s="13"/>
      <c r="U37" s="13">
        <f t="shared" si="0"/>
        <v>0</v>
      </c>
      <c r="V37" s="13">
        <f t="shared" si="1"/>
        <v>4.9878842963844781</v>
      </c>
      <c r="W37" s="13">
        <f t="shared" si="2"/>
        <v>4.8463281779405341</v>
      </c>
      <c r="X37" s="13">
        <f t="shared" si="3"/>
        <v>2.077240854892731</v>
      </c>
      <c r="Z37" t="str">
        <f t="shared" si="4"/>
        <v>26.9433962264151,-1.64980719734191E-15</v>
      </c>
      <c r="AA37" t="str">
        <f t="shared" si="5"/>
        <v>26.8910385277193,0.952393117542892</v>
      </c>
      <c r="AB37" t="str">
        <f t="shared" si="6"/>
        <v>26.8928683491382,0.933926200676097</v>
      </c>
      <c r="AC37" t="str">
        <f t="shared" si="7"/>
        <v>26.9179439577052,0.23208691979203</v>
      </c>
    </row>
    <row r="38" spans="2:29" x14ac:dyDescent="0.2">
      <c r="B38" s="3">
        <v>36</v>
      </c>
      <c r="C38" s="6">
        <v>27.735849056603801</v>
      </c>
      <c r="D38" s="6">
        <v>-1.6983309384402001E-15</v>
      </c>
      <c r="E38" s="8">
        <v>1.5707963267949001</v>
      </c>
      <c r="F38" s="7"/>
      <c r="G38" s="10">
        <v>27.680490422785201</v>
      </c>
      <c r="H38" s="10">
        <v>1.02129299744758</v>
      </c>
      <c r="I38" s="10">
        <v>1.6553807101321401</v>
      </c>
      <c r="K38" s="10">
        <v>27.682488060083799</v>
      </c>
      <c r="L38" s="10">
        <v>1.0008754363719801</v>
      </c>
      <c r="M38" s="10">
        <v>1.5881049693649101</v>
      </c>
      <c r="N38" s="13"/>
      <c r="O38" s="10">
        <v>27.709876043862</v>
      </c>
      <c r="P38" s="10">
        <v>0.26081075987888802</v>
      </c>
      <c r="Q38" s="10">
        <v>1.5466185758450901</v>
      </c>
      <c r="R38" s="13"/>
      <c r="S38" s="20">
        <v>1.5707963267949001</v>
      </c>
      <c r="T38" s="13"/>
      <c r="U38" s="13">
        <f t="shared" si="0"/>
        <v>0</v>
      </c>
      <c r="V38" s="13">
        <f t="shared" si="1"/>
        <v>4.8463281779405341</v>
      </c>
      <c r="W38" s="13">
        <f t="shared" si="2"/>
        <v>0.99171216836204179</v>
      </c>
      <c r="X38" s="13">
        <f t="shared" si="3"/>
        <v>-1.3852830875425308</v>
      </c>
      <c r="Z38" t="str">
        <f t="shared" si="4"/>
        <v>27.7358490566038,-1.6983309384402E-15</v>
      </c>
      <c r="AA38" t="str">
        <f t="shared" si="5"/>
        <v>27.6804904227852,1.02129299744758</v>
      </c>
      <c r="AB38" t="str">
        <f t="shared" si="6"/>
        <v>27.6824880600838,1.00087543637198</v>
      </c>
      <c r="AC38" t="str">
        <f t="shared" si="7"/>
        <v>27.709876043862,0.260810759878888</v>
      </c>
    </row>
    <row r="39" spans="2:29" x14ac:dyDescent="0.2">
      <c r="B39" s="3">
        <v>37</v>
      </c>
      <c r="C39" s="6">
        <v>28.528301886792502</v>
      </c>
      <c r="D39" s="6">
        <v>-1.7468546795384901E-15</v>
      </c>
      <c r="E39" s="8">
        <v>1.5707963267949001</v>
      </c>
      <c r="F39" s="7"/>
      <c r="G39" s="10">
        <v>28.470110133730799</v>
      </c>
      <c r="H39" s="10">
        <v>1.08824223314347</v>
      </c>
      <c r="I39" s="10">
        <v>1.5881049693649101</v>
      </c>
      <c r="K39" s="10">
        <v>28.474822188117901</v>
      </c>
      <c r="L39" s="10">
        <v>1.0145910342987501</v>
      </c>
      <c r="M39" s="10">
        <v>1.6518340650463701</v>
      </c>
      <c r="N39" s="13"/>
      <c r="O39" s="10">
        <v>28.5020972657776</v>
      </c>
      <c r="P39" s="10">
        <v>0.24165289933654099</v>
      </c>
      <c r="Q39" s="10">
        <v>1.59930883265561</v>
      </c>
      <c r="R39" s="13"/>
      <c r="S39" s="20">
        <v>1.5707963267949001</v>
      </c>
      <c r="T39" s="13"/>
      <c r="U39" s="13">
        <f t="shared" si="0"/>
        <v>0</v>
      </c>
      <c r="V39" s="13">
        <f t="shared" si="1"/>
        <v>0.99171216836204179</v>
      </c>
      <c r="W39" s="13">
        <f t="shared" si="2"/>
        <v>4.6431203830951011</v>
      </c>
      <c r="X39" s="13">
        <f t="shared" si="3"/>
        <v>1.6336462491606996</v>
      </c>
      <c r="Z39" t="str">
        <f t="shared" si="4"/>
        <v>28.5283018867925,-1.74685467953849E-15</v>
      </c>
      <c r="AA39" t="str">
        <f t="shared" si="5"/>
        <v>28.4701101337308,1.08824223314347</v>
      </c>
      <c r="AB39" t="str">
        <f t="shared" si="6"/>
        <v>28.4748221881179,1.01459103429875</v>
      </c>
      <c r="AC39" t="str">
        <f t="shared" si="7"/>
        <v>28.5020972657776,0.241652899336541</v>
      </c>
    </row>
    <row r="40" spans="2:29" x14ac:dyDescent="0.2">
      <c r="B40" s="3">
        <v>38</v>
      </c>
      <c r="C40" s="6">
        <v>29.320754716981099</v>
      </c>
      <c r="D40" s="6">
        <v>-1.7953784206367798E-15</v>
      </c>
      <c r="E40" s="8">
        <v>1.5707963267949001</v>
      </c>
      <c r="F40" s="7"/>
      <c r="G40" s="10">
        <v>29.262444261764902</v>
      </c>
      <c r="H40" s="10">
        <v>1.10195783107024</v>
      </c>
      <c r="I40" s="10">
        <v>1.6518340650463701</v>
      </c>
      <c r="K40" s="10">
        <v>29.264674377557402</v>
      </c>
      <c r="L40" s="10">
        <v>1.07873935393183</v>
      </c>
      <c r="M40" s="10">
        <v>1.63282131858867</v>
      </c>
      <c r="N40" s="13"/>
      <c r="O40" s="10">
        <v>29.294228000376901</v>
      </c>
      <c r="P40" s="10">
        <v>0.26424465396788499</v>
      </c>
      <c r="Q40" s="10">
        <v>1.5847988681973399</v>
      </c>
      <c r="R40" s="13"/>
      <c r="S40" s="20">
        <v>1.5707963267949001</v>
      </c>
      <c r="T40" s="13"/>
      <c r="U40" s="13">
        <f t="shared" si="0"/>
        <v>0</v>
      </c>
      <c r="V40" s="13">
        <f t="shared" si="1"/>
        <v>4.6431203830951011</v>
      </c>
      <c r="W40" s="13">
        <f t="shared" si="2"/>
        <v>3.5537702541165781</v>
      </c>
      <c r="X40" s="13">
        <f t="shared" si="3"/>
        <v>0.80228652481699958</v>
      </c>
      <c r="Z40" t="str">
        <f t="shared" si="4"/>
        <v>29.3207547169811,-1.79537842063678E-15</v>
      </c>
      <c r="AA40" t="str">
        <f t="shared" si="5"/>
        <v>29.2624442617649,1.10195783107024</v>
      </c>
      <c r="AB40" t="str">
        <f t="shared" si="6"/>
        <v>29.2646743775574,1.07873935393183</v>
      </c>
      <c r="AC40" t="str">
        <f t="shared" si="7"/>
        <v>29.2942280003769,0.264244653967885</v>
      </c>
    </row>
    <row r="41" spans="2:29" x14ac:dyDescent="0.2">
      <c r="B41" s="3">
        <v>39</v>
      </c>
      <c r="C41" s="6">
        <v>30.1132075471698</v>
      </c>
      <c r="D41" s="6">
        <v>-1.8439021617350698E-15</v>
      </c>
      <c r="E41" s="8">
        <v>1.5707963267949001</v>
      </c>
      <c r="F41" s="7"/>
      <c r="G41" s="10">
        <v>30.052296451204299</v>
      </c>
      <c r="H41" s="10">
        <v>1.1661061507033199</v>
      </c>
      <c r="I41" s="10">
        <v>1.63282131858867</v>
      </c>
      <c r="K41" s="10">
        <v>30.055603373882601</v>
      </c>
      <c r="L41" s="10">
        <v>1.1278597249196001</v>
      </c>
      <c r="M41" s="10">
        <v>1.6612689474509801</v>
      </c>
      <c r="N41" s="13"/>
      <c r="O41" s="10">
        <v>30.086603143259801</v>
      </c>
      <c r="P41" s="10">
        <v>0.27534064492314198</v>
      </c>
      <c r="Q41" s="10">
        <v>1.6078003844514701</v>
      </c>
      <c r="R41" s="13"/>
      <c r="S41" s="20">
        <v>1.5707963267949001</v>
      </c>
      <c r="T41" s="13"/>
      <c r="U41" s="13">
        <f t="shared" si="0"/>
        <v>0</v>
      </c>
      <c r="V41" s="13">
        <f t="shared" si="1"/>
        <v>3.5537702541165781</v>
      </c>
      <c r="W41" s="13">
        <f t="shared" si="2"/>
        <v>5.1836993250814949</v>
      </c>
      <c r="X41" s="13">
        <f t="shared" si="3"/>
        <v>2.1201763285802206</v>
      </c>
      <c r="Z41" t="str">
        <f t="shared" si="4"/>
        <v>30.1132075471698,-1.84390216173507E-15</v>
      </c>
      <c r="AA41" t="str">
        <f t="shared" si="5"/>
        <v>30.0522964512043,1.16610615070332</v>
      </c>
      <c r="AB41" t="str">
        <f t="shared" si="6"/>
        <v>30.0556033738826,1.1278597249196</v>
      </c>
      <c r="AC41" t="str">
        <f t="shared" si="7"/>
        <v>30.0866031432598,0.275340644923142</v>
      </c>
    </row>
    <row r="42" spans="2:29" x14ac:dyDescent="0.2">
      <c r="B42" s="3">
        <v>40</v>
      </c>
      <c r="C42" s="6">
        <v>30.905660377358501</v>
      </c>
      <c r="D42" s="6">
        <v>-1.8924259028333598E-15</v>
      </c>
      <c r="E42" s="8">
        <v>1.5707963267949001</v>
      </c>
      <c r="F42" s="7"/>
      <c r="G42" s="10">
        <v>30.843225447529601</v>
      </c>
      <c r="H42" s="10">
        <v>1.21522652169109</v>
      </c>
      <c r="I42" s="10">
        <v>1.6612689474509801</v>
      </c>
      <c r="K42" s="10">
        <v>30.844815185571399</v>
      </c>
      <c r="L42" s="10">
        <v>1.1994572413915401</v>
      </c>
      <c r="M42" s="10">
        <v>1.63142758682929</v>
      </c>
      <c r="N42" s="13"/>
      <c r="O42" s="10">
        <v>30.878513482413201</v>
      </c>
      <c r="P42" s="10">
        <v>0.30465792337960201</v>
      </c>
      <c r="Q42" s="10">
        <v>1.5808916905174399</v>
      </c>
      <c r="R42" s="13"/>
      <c r="S42" s="20">
        <v>1.5707963267949001</v>
      </c>
      <c r="T42" s="13"/>
      <c r="U42" s="13">
        <f t="shared" si="0"/>
        <v>0</v>
      </c>
      <c r="V42" s="13">
        <f t="shared" si="1"/>
        <v>5.1836993250814949</v>
      </c>
      <c r="W42" s="13">
        <f t="shared" si="2"/>
        <v>3.4739153065307637</v>
      </c>
      <c r="X42" s="13">
        <f t="shared" si="3"/>
        <v>0.57842173395101204</v>
      </c>
      <c r="Z42" t="str">
        <f t="shared" si="4"/>
        <v>30.9056603773585,-1.89242590283336E-15</v>
      </c>
      <c r="AA42" t="str">
        <f t="shared" si="5"/>
        <v>30.8432254475296,1.21522652169109</v>
      </c>
      <c r="AB42" t="str">
        <f t="shared" si="6"/>
        <v>30.8448151855714,1.19945724139154</v>
      </c>
      <c r="AC42" t="str">
        <f t="shared" si="7"/>
        <v>30.8785134824132,0.304657923379602</v>
      </c>
    </row>
    <row r="43" spans="2:29" x14ac:dyDescent="0.2">
      <c r="B43" s="3">
        <v>41</v>
      </c>
      <c r="C43" s="6">
        <v>31.698113207547198</v>
      </c>
      <c r="D43" s="6">
        <v>-1.9409496439316502E-15</v>
      </c>
      <c r="E43" s="8">
        <v>1.5707963267949001</v>
      </c>
      <c r="F43" s="7"/>
      <c r="G43" s="10">
        <v>31.632437259218399</v>
      </c>
      <c r="H43" s="10">
        <v>1.28682403816302</v>
      </c>
      <c r="I43" s="10">
        <v>1.63142758682929</v>
      </c>
      <c r="K43" s="10">
        <v>31.635811874310601</v>
      </c>
      <c r="L43" s="10">
        <v>1.24747522216673</v>
      </c>
      <c r="M43" s="10">
        <v>1.68352578912499</v>
      </c>
      <c r="N43" s="13"/>
      <c r="O43" s="10">
        <v>31.670925930987401</v>
      </c>
      <c r="P43" s="10">
        <v>0.31265788704382802</v>
      </c>
      <c r="Q43" s="10">
        <v>1.6315540297845601</v>
      </c>
      <c r="R43" s="13"/>
      <c r="S43" s="20">
        <v>1.5707963267949001</v>
      </c>
      <c r="T43" s="13"/>
      <c r="U43" s="13">
        <f t="shared" si="0"/>
        <v>0</v>
      </c>
      <c r="V43" s="13">
        <f t="shared" si="1"/>
        <v>3.4739153065307637</v>
      </c>
      <c r="W43" s="13">
        <f t="shared" si="2"/>
        <v>6.4589224182931471</v>
      </c>
      <c r="X43" s="13">
        <f t="shared" si="3"/>
        <v>3.4811599542169014</v>
      </c>
      <c r="Z43" t="str">
        <f t="shared" si="4"/>
        <v>31.6981132075472,-1.94094964393165E-15</v>
      </c>
      <c r="AA43" t="str">
        <f t="shared" si="5"/>
        <v>31.6324372592184,1.28682403816302</v>
      </c>
      <c r="AB43" t="str">
        <f t="shared" si="6"/>
        <v>31.6358118743106,1.24747522216673</v>
      </c>
      <c r="AC43" t="str">
        <f t="shared" si="7"/>
        <v>31.6709259309874,0.312657887043828</v>
      </c>
    </row>
    <row r="44" spans="2:29" x14ac:dyDescent="0.2">
      <c r="B44" s="3">
        <v>42</v>
      </c>
      <c r="C44" s="6">
        <v>32.490566037735903</v>
      </c>
      <c r="D44" s="6">
        <v>-1.98947338502995E-15</v>
      </c>
      <c r="E44" s="8">
        <v>1.5707963267949001</v>
      </c>
      <c r="F44" s="7"/>
      <c r="G44" s="10">
        <v>32.423433947957498</v>
      </c>
      <c r="H44" s="10">
        <v>1.33484201893821</v>
      </c>
      <c r="I44" s="10">
        <v>1.68352578912499</v>
      </c>
      <c r="K44" s="10">
        <v>32.423234816296699</v>
      </c>
      <c r="L44" s="10">
        <v>1.3366189180062999</v>
      </c>
      <c r="M44" s="10">
        <v>1.63592018155578</v>
      </c>
      <c r="N44" s="13"/>
      <c r="O44" s="10">
        <v>32.461916541868</v>
      </c>
      <c r="P44" s="10">
        <v>0.36077588339383199</v>
      </c>
      <c r="Q44" s="10">
        <v>1.5896237190734801</v>
      </c>
      <c r="R44" s="13"/>
      <c r="S44" s="20">
        <v>1.5707963267949001</v>
      </c>
      <c r="T44" s="13"/>
      <c r="U44" s="13">
        <f t="shared" si="0"/>
        <v>0</v>
      </c>
      <c r="V44" s="13">
        <f t="shared" si="1"/>
        <v>6.4589224182931471</v>
      </c>
      <c r="W44" s="13">
        <f t="shared" si="2"/>
        <v>3.7313220234213706</v>
      </c>
      <c r="X44" s="13">
        <f t="shared" si="3"/>
        <v>1.0787301167998278</v>
      </c>
      <c r="Z44" t="str">
        <f t="shared" si="4"/>
        <v>32.4905660377359,-1.98947338502995E-15</v>
      </c>
      <c r="AA44" t="str">
        <f t="shared" si="5"/>
        <v>32.4234339479575,1.33484201893821</v>
      </c>
      <c r="AB44" t="str">
        <f t="shared" si="6"/>
        <v>32.4232348162967,1.3366189180063</v>
      </c>
      <c r="AC44" t="str">
        <f t="shared" si="7"/>
        <v>32.461916541868,0.360775883393832</v>
      </c>
    </row>
    <row r="45" spans="2:29" x14ac:dyDescent="0.2">
      <c r="B45" s="3">
        <v>43</v>
      </c>
      <c r="C45" s="6">
        <v>33.283018867924497</v>
      </c>
      <c r="D45" s="6">
        <v>-2.03799712612824E-15</v>
      </c>
      <c r="E45" s="8">
        <v>1.5707963267949001</v>
      </c>
      <c r="F45" s="7"/>
      <c r="G45" s="10">
        <v>33.210856889943699</v>
      </c>
      <c r="H45" s="10">
        <v>1.4239857147777899</v>
      </c>
      <c r="I45" s="10">
        <v>1.63592018155578</v>
      </c>
      <c r="K45" s="10">
        <v>33.214007797943601</v>
      </c>
      <c r="L45" s="10">
        <v>1.38819002979753</v>
      </c>
      <c r="M45" s="10">
        <v>1.66858608296376</v>
      </c>
      <c r="N45" s="13"/>
      <c r="O45" s="10">
        <v>33.254228925550699</v>
      </c>
      <c r="P45" s="10">
        <v>0.37569482226583301</v>
      </c>
      <c r="Q45" s="10">
        <v>1.61882978291115</v>
      </c>
      <c r="R45" s="13"/>
      <c r="S45" s="20">
        <v>1.5707963267949001</v>
      </c>
      <c r="T45" s="13"/>
      <c r="U45" s="13">
        <f t="shared" si="0"/>
        <v>0</v>
      </c>
      <c r="V45" s="13">
        <f t="shared" si="1"/>
        <v>3.7313220234213706</v>
      </c>
      <c r="W45" s="13">
        <f t="shared" si="2"/>
        <v>5.6029403080890772</v>
      </c>
      <c r="X45" s="13">
        <f t="shared" si="3"/>
        <v>2.7521143108879684</v>
      </c>
      <c r="Z45" t="str">
        <f t="shared" si="4"/>
        <v>33.2830188679245,-2.03799712612824E-15</v>
      </c>
      <c r="AA45" t="str">
        <f t="shared" si="5"/>
        <v>33.2108568899437,1.42398571477779</v>
      </c>
      <c r="AB45" t="str">
        <f t="shared" si="6"/>
        <v>33.2140077979436,1.38819002979753</v>
      </c>
      <c r="AC45" t="str">
        <f t="shared" si="7"/>
        <v>33.2542289255507,0.375694822265833</v>
      </c>
    </row>
    <row r="46" spans="2:29" x14ac:dyDescent="0.2">
      <c r="B46" s="3">
        <v>44</v>
      </c>
      <c r="C46" s="6">
        <v>34.075471698113198</v>
      </c>
      <c r="D46" s="6">
        <v>-2.08652086722653E-15</v>
      </c>
      <c r="E46" s="8">
        <v>1.5707963267949001</v>
      </c>
      <c r="F46" s="7"/>
      <c r="G46" s="10">
        <v>34.001629871590502</v>
      </c>
      <c r="H46" s="10">
        <v>1.47555682656902</v>
      </c>
      <c r="I46" s="10">
        <v>1.66858608296376</v>
      </c>
      <c r="K46" s="10">
        <v>34.002674598284599</v>
      </c>
      <c r="L46" s="10">
        <v>1.4655603478395101</v>
      </c>
      <c r="M46" s="10">
        <v>1.59899158262006</v>
      </c>
      <c r="N46" s="13"/>
      <c r="O46" s="10">
        <v>34.045767752794198</v>
      </c>
      <c r="P46" s="10">
        <v>0.41374443514321002</v>
      </c>
      <c r="Q46" s="10">
        <v>1.55428610265121</v>
      </c>
      <c r="R46" s="13"/>
      <c r="S46" s="20">
        <v>1.5707963267949001</v>
      </c>
      <c r="T46" s="13"/>
      <c r="U46" s="13">
        <f t="shared" si="0"/>
        <v>0</v>
      </c>
      <c r="V46" s="13">
        <f t="shared" si="1"/>
        <v>5.6029403080890772</v>
      </c>
      <c r="W46" s="13">
        <f t="shared" si="2"/>
        <v>1.6154691610733125</v>
      </c>
      <c r="X46" s="13">
        <f t="shared" si="3"/>
        <v>-0.94596616224843511</v>
      </c>
      <c r="Z46" t="str">
        <f t="shared" si="4"/>
        <v>34.0754716981132,-2.08652086722653E-15</v>
      </c>
      <c r="AA46" t="str">
        <f t="shared" si="5"/>
        <v>34.0016298715905,1.47555682656902</v>
      </c>
      <c r="AB46" t="str">
        <f t="shared" si="6"/>
        <v>34.0026745982846,1.46556034783951</v>
      </c>
      <c r="AC46" t="str">
        <f t="shared" si="7"/>
        <v>34.0457677527942,0.41374443514321</v>
      </c>
    </row>
    <row r="47" spans="2:29" x14ac:dyDescent="0.2">
      <c r="B47" s="3">
        <v>45</v>
      </c>
      <c r="C47" s="6">
        <v>34.867924528301899</v>
      </c>
      <c r="D47" s="6">
        <v>-2.13504460832482E-15</v>
      </c>
      <c r="E47" s="8">
        <v>1.5707963267949001</v>
      </c>
      <c r="F47" s="7"/>
      <c r="G47" s="10">
        <v>34.7902966719315</v>
      </c>
      <c r="H47" s="10">
        <v>1.55292714461099</v>
      </c>
      <c r="I47" s="10">
        <v>1.59899158262006</v>
      </c>
      <c r="K47" s="10">
        <v>34.794812460255599</v>
      </c>
      <c r="L47" s="10">
        <v>1.4879007978344501</v>
      </c>
      <c r="M47" s="10">
        <v>1.6421402402817</v>
      </c>
      <c r="N47" s="13"/>
      <c r="O47" s="10">
        <v>34.838112579067797</v>
      </c>
      <c r="P47" s="10">
        <v>0.40066145568850797</v>
      </c>
      <c r="Q47" s="10">
        <v>1.5829070386245701</v>
      </c>
      <c r="R47" s="13"/>
      <c r="S47" s="20">
        <v>1.5707963267949001</v>
      </c>
      <c r="T47" s="13"/>
      <c r="U47" s="13">
        <f t="shared" si="0"/>
        <v>0</v>
      </c>
      <c r="V47" s="13">
        <f t="shared" si="1"/>
        <v>1.6154691610733125</v>
      </c>
      <c r="W47" s="13">
        <f t="shared" si="2"/>
        <v>4.0877051367401078</v>
      </c>
      <c r="X47" s="13">
        <f t="shared" si="3"/>
        <v>0.69389267473924665</v>
      </c>
      <c r="Z47" t="str">
        <f t="shared" si="4"/>
        <v>34.8679245283019,-2.13504460832482E-15</v>
      </c>
      <c r="AA47" t="str">
        <f t="shared" si="5"/>
        <v>34.7902966719315,1.55292714461099</v>
      </c>
      <c r="AB47" t="str">
        <f t="shared" si="6"/>
        <v>34.7948124602556,1.48790079783445</v>
      </c>
      <c r="AC47" t="str">
        <f t="shared" si="7"/>
        <v>34.8381125790678,0.400661455688508</v>
      </c>
    </row>
    <row r="48" spans="2:29" x14ac:dyDescent="0.2">
      <c r="B48" s="3">
        <v>46</v>
      </c>
      <c r="C48" s="6">
        <v>35.660377358490599</v>
      </c>
      <c r="D48" s="6">
        <v>-2.18356834942311E-15</v>
      </c>
      <c r="E48" s="8">
        <v>1.5707963267949001</v>
      </c>
      <c r="F48" s="7"/>
      <c r="G48" s="10">
        <v>35.5824345339026</v>
      </c>
      <c r="H48" s="10">
        <v>1.57526759460594</v>
      </c>
      <c r="I48" s="10">
        <v>1.6421402402817</v>
      </c>
      <c r="K48" s="10">
        <v>35.585249371516802</v>
      </c>
      <c r="L48" s="10">
        <v>1.54438953467652</v>
      </c>
      <c r="M48" s="10">
        <v>1.57154397824338</v>
      </c>
      <c r="N48" s="13"/>
      <c r="O48" s="10">
        <v>35.630507295699601</v>
      </c>
      <c r="P48" s="10">
        <v>0.410258388953538</v>
      </c>
      <c r="Q48" s="10">
        <v>1.51784908805026</v>
      </c>
      <c r="R48" s="13"/>
      <c r="S48" s="20">
        <v>1.5707963267949001</v>
      </c>
      <c r="T48" s="13"/>
      <c r="U48" s="13">
        <f t="shared" si="0"/>
        <v>0</v>
      </c>
      <c r="V48" s="13">
        <f t="shared" si="1"/>
        <v>4.0877051367401078</v>
      </c>
      <c r="W48" s="13">
        <f t="shared" si="2"/>
        <v>4.2837272544739846E-2</v>
      </c>
      <c r="X48" s="13">
        <f t="shared" si="3"/>
        <v>-3.0336533169394309</v>
      </c>
      <c r="Z48" t="str">
        <f t="shared" si="4"/>
        <v>35.6603773584906,-2.18356834942311E-15</v>
      </c>
      <c r="AA48" t="str">
        <f t="shared" si="5"/>
        <v>35.5824345339026,1.57526759460594</v>
      </c>
      <c r="AB48" t="str">
        <f t="shared" si="6"/>
        <v>35.5852493715168,1.54438953467652</v>
      </c>
      <c r="AC48" t="str">
        <f t="shared" si="7"/>
        <v>35.6305072956996,0.410258388953538</v>
      </c>
    </row>
    <row r="49" spans="2:29" x14ac:dyDescent="0.2">
      <c r="B49" s="3">
        <v>47</v>
      </c>
      <c r="C49" s="6">
        <v>36.4528301886793</v>
      </c>
      <c r="D49" s="6">
        <v>-2.2320920905213999E-15</v>
      </c>
      <c r="E49" s="8">
        <v>1.5707963267949001</v>
      </c>
      <c r="F49" s="7"/>
      <c r="G49" s="10">
        <v>36.372871445163703</v>
      </c>
      <c r="H49" s="10">
        <v>1.6317563314480099</v>
      </c>
      <c r="I49" s="10">
        <v>1.57154397824338</v>
      </c>
      <c r="K49" s="10">
        <v>36.377701980221701</v>
      </c>
      <c r="L49" s="10">
        <v>1.5449820131276699</v>
      </c>
      <c r="M49" s="10">
        <v>1.60113247487057</v>
      </c>
      <c r="N49" s="13"/>
      <c r="O49" s="10">
        <v>36.421849600232598</v>
      </c>
      <c r="P49" s="10">
        <v>0.36831980134707099</v>
      </c>
      <c r="Q49" s="10">
        <v>1.54501715415053</v>
      </c>
      <c r="R49" s="13"/>
      <c r="S49" s="20">
        <v>1.5707963267949001</v>
      </c>
      <c r="T49" s="13"/>
      <c r="U49" s="13">
        <f t="shared" si="0"/>
        <v>0</v>
      </c>
      <c r="V49" s="13">
        <f t="shared" si="1"/>
        <v>4.2837272544739846E-2</v>
      </c>
      <c r="W49" s="13">
        <f t="shared" si="2"/>
        <v>1.7381332514197974</v>
      </c>
      <c r="X49" s="13">
        <f t="shared" si="3"/>
        <v>-1.4770377918615143</v>
      </c>
      <c r="Z49" t="str">
        <f t="shared" si="4"/>
        <v>36.4528301886793,-2.2320920905214E-15</v>
      </c>
      <c r="AA49" t="str">
        <f t="shared" si="5"/>
        <v>36.3728714451637,1.63175633144801</v>
      </c>
      <c r="AB49" t="str">
        <f t="shared" si="6"/>
        <v>36.3777019802217,1.54498201312767</v>
      </c>
      <c r="AC49" t="str">
        <f t="shared" si="7"/>
        <v>36.4218496002326,0.368319801347071</v>
      </c>
    </row>
    <row r="50" spans="2:29" x14ac:dyDescent="0.2">
      <c r="B50" s="3">
        <v>48</v>
      </c>
      <c r="C50" s="6">
        <v>37.245283018867902</v>
      </c>
      <c r="D50" s="6">
        <v>-2.2806158316196899E-15</v>
      </c>
      <c r="E50" s="8">
        <v>1.5707963267949001</v>
      </c>
      <c r="F50" s="7"/>
      <c r="G50" s="10">
        <v>37.165324053868702</v>
      </c>
      <c r="H50" s="10">
        <v>1.6323488098991601</v>
      </c>
      <c r="I50" s="10">
        <v>1.60113247487057</v>
      </c>
      <c r="K50" s="10">
        <v>37.169790198383602</v>
      </c>
      <c r="L50" s="10">
        <v>1.5690182924393401</v>
      </c>
      <c r="M50" s="10">
        <v>1.55083407601158</v>
      </c>
      <c r="N50" s="13"/>
      <c r="O50" s="10">
        <v>37.214039126502101</v>
      </c>
      <c r="P50" s="10">
        <v>0.347893285660972</v>
      </c>
      <c r="Q50" s="10">
        <v>1.4994573309163799</v>
      </c>
      <c r="R50" s="13"/>
      <c r="S50" s="20">
        <v>1.5707963267949001</v>
      </c>
      <c r="T50" s="13"/>
      <c r="U50" s="13">
        <f t="shared" si="0"/>
        <v>0</v>
      </c>
      <c r="V50" s="13">
        <f t="shared" si="1"/>
        <v>1.7381332514197974</v>
      </c>
      <c r="W50" s="13">
        <f t="shared" si="2"/>
        <v>-1.143752719465966</v>
      </c>
      <c r="X50" s="13">
        <f t="shared" si="3"/>
        <v>-4.0874233785403824</v>
      </c>
      <c r="Z50" t="str">
        <f t="shared" si="4"/>
        <v>37.2452830188679,-2.28061583161969E-15</v>
      </c>
      <c r="AA50" t="str">
        <f t="shared" si="5"/>
        <v>37.1653240538687,1.63234880989916</v>
      </c>
      <c r="AB50" t="str">
        <f t="shared" si="6"/>
        <v>37.1697901983836,1.56901829243934</v>
      </c>
      <c r="AC50" t="str">
        <f t="shared" si="7"/>
        <v>37.2140391265021,0.347893285660972</v>
      </c>
    </row>
    <row r="51" spans="2:29" x14ac:dyDescent="0.2">
      <c r="B51" s="3">
        <v>49</v>
      </c>
      <c r="C51" s="6">
        <v>38.037735849056602</v>
      </c>
      <c r="D51" s="6">
        <v>-2.3291395727179799E-15</v>
      </c>
      <c r="E51" s="8">
        <v>1.5707963267949001</v>
      </c>
      <c r="F51" s="7"/>
      <c r="G51" s="10">
        <v>37.957412272030602</v>
      </c>
      <c r="H51" s="10">
        <v>1.6563850892108301</v>
      </c>
      <c r="I51" s="10">
        <v>1.55083407601158</v>
      </c>
      <c r="K51" s="10">
        <v>37.962085140974303</v>
      </c>
      <c r="L51" s="10">
        <v>1.5532002009204</v>
      </c>
      <c r="M51" s="10">
        <v>1.5603200023096899</v>
      </c>
      <c r="N51" s="13"/>
      <c r="O51" s="10">
        <v>38.004476315543101</v>
      </c>
      <c r="P51" s="10">
        <v>0.29140843587868598</v>
      </c>
      <c r="Q51" s="10">
        <v>1.50267355575073</v>
      </c>
      <c r="R51" s="13"/>
      <c r="S51" s="20">
        <v>1.5707963267949001</v>
      </c>
      <c r="T51" s="13"/>
      <c r="U51" s="13">
        <f t="shared" si="0"/>
        <v>0</v>
      </c>
      <c r="V51" s="13">
        <f t="shared" si="1"/>
        <v>-1.143752719465966</v>
      </c>
      <c r="W51" s="13">
        <f t="shared" si="2"/>
        <v>-0.60024917781210851</v>
      </c>
      <c r="X51" s="13">
        <f t="shared" si="3"/>
        <v>-3.9031472695669578</v>
      </c>
      <c r="Z51" t="str">
        <f t="shared" si="4"/>
        <v>38.0377358490566,-2.32913957271798E-15</v>
      </c>
      <c r="AA51" t="str">
        <f t="shared" si="5"/>
        <v>37.9574122720306,1.65638508921083</v>
      </c>
      <c r="AB51" t="str">
        <f t="shared" si="6"/>
        <v>37.9620851409743,1.5532002009204</v>
      </c>
      <c r="AC51" t="str">
        <f t="shared" si="7"/>
        <v>38.0044763155431,0.291408435878686</v>
      </c>
    </row>
    <row r="52" spans="2:29" x14ac:dyDescent="0.2">
      <c r="B52" s="3">
        <v>50</v>
      </c>
      <c r="C52" s="6">
        <v>38.830188679245303</v>
      </c>
      <c r="D52" s="6">
        <v>-2.3776633138162699E-15</v>
      </c>
      <c r="E52" s="8">
        <v>1.5707963267949001</v>
      </c>
      <c r="F52" s="7"/>
      <c r="G52" s="10">
        <v>38.749707214621303</v>
      </c>
      <c r="H52" s="10">
        <v>1.64056699769189</v>
      </c>
      <c r="I52" s="10">
        <v>1.5603200023096899</v>
      </c>
      <c r="K52" s="10">
        <v>38.754494484374497</v>
      </c>
      <c r="L52" s="10">
        <v>1.54489835979325</v>
      </c>
      <c r="M52" s="10">
        <v>1.5522265703145099</v>
      </c>
      <c r="N52" s="13"/>
      <c r="O52" s="10">
        <v>38.795091084069597</v>
      </c>
      <c r="P52" s="10">
        <v>0.23746609757322901</v>
      </c>
      <c r="Q52" s="10">
        <v>1.49795906905381</v>
      </c>
      <c r="R52" s="13"/>
      <c r="S52" s="20">
        <v>1.5707963267949001</v>
      </c>
      <c r="T52" s="13"/>
      <c r="U52" s="13">
        <f t="shared" si="0"/>
        <v>0</v>
      </c>
      <c r="V52" s="13">
        <f t="shared" si="1"/>
        <v>-0.60024917781210851</v>
      </c>
      <c r="W52" s="13">
        <f t="shared" si="2"/>
        <v>-1.0639686729120665</v>
      </c>
      <c r="X52" s="13">
        <f t="shared" si="3"/>
        <v>-4.1732674598710453</v>
      </c>
      <c r="Z52" t="str">
        <f t="shared" si="4"/>
        <v>38.8301886792453,-2.37766331381627E-15</v>
      </c>
      <c r="AA52" t="str">
        <f t="shared" si="5"/>
        <v>38.7497072146213,1.64056699769189</v>
      </c>
      <c r="AB52" t="str">
        <f t="shared" si="6"/>
        <v>38.7544944843745,1.54489835979325</v>
      </c>
      <c r="AC52" t="str">
        <f t="shared" si="7"/>
        <v>38.7950910840696,0.237466097573229</v>
      </c>
    </row>
    <row r="53" spans="2:29" x14ac:dyDescent="0.2">
      <c r="B53" s="3">
        <v>51</v>
      </c>
      <c r="C53" s="6">
        <v>39.622641509433997</v>
      </c>
      <c r="D53" s="6">
        <v>-2.4261870549145701E-15</v>
      </c>
      <c r="E53" s="8">
        <v>1.5707963267949001</v>
      </c>
      <c r="F53" s="7"/>
      <c r="G53" s="10">
        <v>39.542116558021497</v>
      </c>
      <c r="H53" s="10">
        <v>1.6322651565647399</v>
      </c>
      <c r="I53" s="10">
        <v>1.5522265703145099</v>
      </c>
      <c r="K53" s="10">
        <v>39.546810685414599</v>
      </c>
      <c r="L53" s="10">
        <v>1.53018354944751</v>
      </c>
      <c r="M53" s="10">
        <v>1.59522799490072</v>
      </c>
      <c r="N53" s="13"/>
      <c r="O53" s="10">
        <v>39.585442756863998</v>
      </c>
      <c r="P53" s="10">
        <v>0.179797029737186</v>
      </c>
      <c r="Q53" s="10">
        <v>1.5410014312336</v>
      </c>
      <c r="R53" s="13"/>
      <c r="S53" s="20">
        <v>1.5707963267949001</v>
      </c>
      <c r="T53" s="13"/>
      <c r="U53" s="13">
        <f t="shared" si="0"/>
        <v>0</v>
      </c>
      <c r="V53" s="13">
        <f t="shared" si="1"/>
        <v>-1.0639686729120665</v>
      </c>
      <c r="W53" s="13">
        <f t="shared" si="2"/>
        <v>1.399831468927861</v>
      </c>
      <c r="X53" s="13">
        <f t="shared" si="3"/>
        <v>-1.707121766695566</v>
      </c>
      <c r="Z53" t="str">
        <f t="shared" si="4"/>
        <v>39.622641509434,-2.42618705491457E-15</v>
      </c>
      <c r="AA53" t="str">
        <f t="shared" si="5"/>
        <v>39.5421165580215,1.63226515656474</v>
      </c>
      <c r="AB53" t="str">
        <f t="shared" si="6"/>
        <v>39.5468106854146,1.53018354944751</v>
      </c>
      <c r="AC53" t="str">
        <f t="shared" si="7"/>
        <v>39.585442756864,0.179797029737186</v>
      </c>
    </row>
    <row r="54" spans="2:29" x14ac:dyDescent="0.2">
      <c r="B54" s="3">
        <v>52</v>
      </c>
      <c r="C54" s="6">
        <v>40.415094339622698</v>
      </c>
      <c r="D54" s="6">
        <v>-2.4747107960128601E-15</v>
      </c>
      <c r="E54" s="8">
        <v>1.5707963267949001</v>
      </c>
      <c r="F54" s="7"/>
      <c r="G54" s="10">
        <v>40.334432759061499</v>
      </c>
      <c r="H54" s="10">
        <v>1.617550346219</v>
      </c>
      <c r="I54" s="10">
        <v>1.59522799490072</v>
      </c>
      <c r="K54" s="10">
        <v>40.339027017282</v>
      </c>
      <c r="L54" s="10">
        <v>1.5495425679297199</v>
      </c>
      <c r="M54" s="10">
        <v>1.54814566787153</v>
      </c>
      <c r="N54" s="13"/>
      <c r="O54" s="10">
        <v>40.3775438686991</v>
      </c>
      <c r="P54" s="10">
        <v>0.15618947366503699</v>
      </c>
      <c r="Q54" s="10">
        <v>1.4903196808693699</v>
      </c>
      <c r="R54" s="13"/>
      <c r="S54" s="20">
        <v>1.5707963267949001</v>
      </c>
      <c r="T54" s="13"/>
      <c r="U54" s="13">
        <f t="shared" si="0"/>
        <v>0</v>
      </c>
      <c r="V54" s="13">
        <f t="shared" si="1"/>
        <v>1.399831468927861</v>
      </c>
      <c r="W54" s="13">
        <f t="shared" si="2"/>
        <v>-1.2977871594994466</v>
      </c>
      <c r="X54" s="13">
        <f t="shared" si="3"/>
        <v>-4.6109721609015706</v>
      </c>
      <c r="Z54" t="str">
        <f t="shared" si="4"/>
        <v>40.4150943396227,-2.47471079601286E-15</v>
      </c>
      <c r="AA54" t="str">
        <f t="shared" si="5"/>
        <v>40.3344327590615,1.617550346219</v>
      </c>
      <c r="AB54" t="str">
        <f t="shared" si="6"/>
        <v>40.339027017282,1.54954256792972</v>
      </c>
      <c r="AC54" t="str">
        <f t="shared" si="7"/>
        <v>40.3775438686991,0.156189473665037</v>
      </c>
    </row>
    <row r="55" spans="2:29" x14ac:dyDescent="0.2">
      <c r="B55" s="3">
        <v>53</v>
      </c>
      <c r="C55" s="6">
        <v>41.207547169811299</v>
      </c>
      <c r="D55" s="6">
        <v>-2.5232345371111501E-15</v>
      </c>
      <c r="E55" s="8">
        <v>1.5707963267949001</v>
      </c>
      <c r="F55" s="7"/>
      <c r="G55" s="10">
        <v>41.1266490909289</v>
      </c>
      <c r="H55" s="10">
        <v>1.6369093647012001</v>
      </c>
      <c r="I55" s="10">
        <v>1.71540606590851</v>
      </c>
      <c r="K55" s="10">
        <v>41.1312765712686</v>
      </c>
      <c r="L55" s="10">
        <v>1.5315945239664801</v>
      </c>
      <c r="M55" s="10">
        <v>1.71540606590851</v>
      </c>
      <c r="N55" s="13"/>
      <c r="O55" s="10">
        <v>41.1674319269341</v>
      </c>
      <c r="P55" s="10">
        <v>9.2484344108557201E-2</v>
      </c>
      <c r="Q55" s="10">
        <v>1.6500346040934599</v>
      </c>
      <c r="R55" s="13"/>
      <c r="S55" s="20">
        <v>1.5707963267949001</v>
      </c>
      <c r="T55" s="13"/>
      <c r="U55" s="13">
        <f t="shared" si="0"/>
        <v>0</v>
      </c>
      <c r="V55" s="13">
        <f t="shared" si="1"/>
        <v>8.2855277276977475</v>
      </c>
      <c r="W55" s="13">
        <f t="shared" si="2"/>
        <v>8.2855277276977475</v>
      </c>
      <c r="X55" s="13">
        <f t="shared" si="3"/>
        <v>4.5400188650947593</v>
      </c>
      <c r="Z55" t="str">
        <f t="shared" si="4"/>
        <v>41.2075471698113,-2.52323453711115E-15</v>
      </c>
      <c r="AA55" t="str">
        <f t="shared" si="5"/>
        <v>41.1266490909289,1.6369093647012</v>
      </c>
      <c r="AB55" t="str">
        <f t="shared" si="6"/>
        <v>41.1312765712686,1.53159452396648</v>
      </c>
      <c r="AC55" t="str">
        <f t="shared" si="7"/>
        <v>41.1674319269341,0.0924843441085572</v>
      </c>
    </row>
    <row r="56" spans="2:29" x14ac:dyDescent="0.2">
      <c r="B56" s="3">
        <v>54</v>
      </c>
      <c r="C56" s="6">
        <v>42</v>
      </c>
      <c r="D56" s="6">
        <v>-2.5717582782094401E-15</v>
      </c>
      <c r="E56" s="8">
        <v>1.5707963267949001</v>
      </c>
      <c r="F56" s="7"/>
      <c r="G56" s="10">
        <v>41.910830473023402</v>
      </c>
      <c r="H56" s="10">
        <v>1.75110677294899</v>
      </c>
      <c r="I56" s="10">
        <v>2.31348835829822</v>
      </c>
      <c r="K56" s="10">
        <v>41.915457953363003</v>
      </c>
      <c r="L56" s="10">
        <v>1.64579193221427</v>
      </c>
      <c r="M56" s="10">
        <v>2.31348835829822</v>
      </c>
      <c r="N56" s="13"/>
      <c r="O56" s="10">
        <v>41.957398269913703</v>
      </c>
      <c r="P56" s="10">
        <v>0.15521125247720899</v>
      </c>
      <c r="Q56" s="10">
        <v>2.22362928906225</v>
      </c>
      <c r="R56" s="13"/>
      <c r="S56" s="20">
        <v>1.5707963267949001</v>
      </c>
      <c r="T56" s="13"/>
      <c r="U56" s="13">
        <f t="shared" si="0"/>
        <v>0</v>
      </c>
      <c r="V56" s="13">
        <f t="shared" si="1"/>
        <v>42.553118883137408</v>
      </c>
      <c r="W56" s="13">
        <f t="shared" si="2"/>
        <v>42.553118883137408</v>
      </c>
      <c r="X56" s="13">
        <f t="shared" si="3"/>
        <v>37.404573464942466</v>
      </c>
      <c r="Z56" t="str">
        <f t="shared" si="4"/>
        <v>42,-2.57175827820944E-15</v>
      </c>
      <c r="AA56" t="str">
        <f t="shared" si="5"/>
        <v>41.9108304730234,1.75110677294899</v>
      </c>
      <c r="AB56" t="str">
        <f t="shared" si="6"/>
        <v>41.915457953363,1.64579193221427</v>
      </c>
      <c r="AC56" t="str">
        <f t="shared" si="7"/>
        <v>41.9573982699137,0.155211252477209</v>
      </c>
    </row>
    <row r="57" spans="2:29" x14ac:dyDescent="0.2">
      <c r="B57" s="3">
        <v>55</v>
      </c>
      <c r="C57" s="6">
        <v>42</v>
      </c>
      <c r="D57" s="6">
        <v>-2.5717582782094401E-15</v>
      </c>
      <c r="E57" s="8">
        <v>3.14159265358979</v>
      </c>
      <c r="F57" s="7"/>
      <c r="G57" s="10">
        <v>41.910830473023402</v>
      </c>
      <c r="H57" s="10">
        <v>1.75110677294899</v>
      </c>
      <c r="I57" s="10">
        <v>3.02315813525315</v>
      </c>
      <c r="K57" s="10">
        <v>41.915457953363003</v>
      </c>
      <c r="L57" s="10">
        <v>1.64579193221427</v>
      </c>
      <c r="M57" s="10">
        <v>3.02315813525315</v>
      </c>
      <c r="N57" s="13"/>
      <c r="O57" s="10">
        <v>41.957398269913703</v>
      </c>
      <c r="P57" s="10">
        <v>0.15521125247720899</v>
      </c>
      <c r="Q57" s="10">
        <v>2.8870030563658</v>
      </c>
      <c r="R57" s="13"/>
      <c r="S57" s="20">
        <v>3.14159265358979</v>
      </c>
      <c r="T57" s="13"/>
      <c r="U57" s="13">
        <f t="shared" si="0"/>
        <v>0</v>
      </c>
      <c r="V57" s="13">
        <f t="shared" si="1"/>
        <v>-6.7857980493542298</v>
      </c>
      <c r="W57" s="13">
        <f t="shared" si="2"/>
        <v>-6.7857980493542298</v>
      </c>
      <c r="X57" s="13">
        <f t="shared" si="3"/>
        <v>-14.586909428870166</v>
      </c>
      <c r="Z57" t="str">
        <f t="shared" si="4"/>
        <v>42,-2.57175827820944E-15</v>
      </c>
      <c r="AA57" t="str">
        <f t="shared" si="5"/>
        <v>41.9108304730234,1.75110677294899</v>
      </c>
      <c r="AB57" t="str">
        <f t="shared" si="6"/>
        <v>41.915457953363,1.64579193221427</v>
      </c>
      <c r="AC57" t="str">
        <f t="shared" si="7"/>
        <v>41.9573982699137,0.155211252477209</v>
      </c>
    </row>
    <row r="58" spans="2:29" x14ac:dyDescent="0.2">
      <c r="B58" s="3">
        <v>56</v>
      </c>
      <c r="C58" s="6">
        <v>42</v>
      </c>
      <c r="D58" s="6">
        <v>0.94029850746268395</v>
      </c>
      <c r="E58" s="8">
        <v>3.14159265358979</v>
      </c>
      <c r="F58" s="7"/>
      <c r="G58" s="10">
        <v>42.021934111286399</v>
      </c>
      <c r="H58" s="10">
        <v>2.6848183262143901</v>
      </c>
      <c r="I58" s="10">
        <v>3.02315813525315</v>
      </c>
      <c r="K58" s="10">
        <v>42.026561591625999</v>
      </c>
      <c r="L58" s="10">
        <v>2.5795034854796599</v>
      </c>
      <c r="M58" s="10">
        <v>-3.1182459312800601</v>
      </c>
      <c r="N58" s="13"/>
      <c r="O58" s="10">
        <v>42.194210808855303</v>
      </c>
      <c r="P58" s="10">
        <v>1.06520087029522</v>
      </c>
      <c r="Q58" s="10">
        <v>3.0249007848653902</v>
      </c>
      <c r="R58" s="13"/>
      <c r="S58" s="20">
        <v>3.14159265358979</v>
      </c>
      <c r="T58" s="13"/>
      <c r="U58" s="13">
        <f t="shared" si="0"/>
        <v>0</v>
      </c>
      <c r="V58" s="13">
        <f t="shared" si="1"/>
        <v>-6.7857980493542298</v>
      </c>
      <c r="W58" s="13">
        <f>(M58-S58)*180/PI()+360</f>
        <v>1.3376686538118179</v>
      </c>
      <c r="X58" s="13">
        <f t="shared" si="3"/>
        <v>-6.6859515814027617</v>
      </c>
      <c r="Z58" t="str">
        <f t="shared" si="4"/>
        <v>42,0.940298507462684</v>
      </c>
      <c r="AA58" t="str">
        <f t="shared" si="5"/>
        <v>42.0219341112864,2.68481832621439</v>
      </c>
      <c r="AB58" t="str">
        <f t="shared" si="6"/>
        <v>42.026561591626,2.57950348547966</v>
      </c>
      <c r="AC58" t="str">
        <f t="shared" si="7"/>
        <v>42.1942108088553,1.06520087029522</v>
      </c>
    </row>
    <row r="59" spans="2:29" x14ac:dyDescent="0.2">
      <c r="B59" s="3">
        <v>57</v>
      </c>
      <c r="C59" s="6">
        <v>42</v>
      </c>
      <c r="D59" s="6">
        <v>1.8805970149253699</v>
      </c>
      <c r="E59" s="8">
        <v>3.14159265358979</v>
      </c>
      <c r="F59" s="7"/>
      <c r="G59" s="10">
        <v>42.133037749549402</v>
      </c>
      <c r="H59" s="10">
        <v>3.6185298794797802</v>
      </c>
      <c r="I59" s="10">
        <v>3.14159265358979</v>
      </c>
      <c r="K59" s="10">
        <v>42.004610697737803</v>
      </c>
      <c r="L59" s="10">
        <v>3.5195457405905999</v>
      </c>
      <c r="M59" s="10">
        <v>-3.1117258700754502</v>
      </c>
      <c r="N59" s="13"/>
      <c r="O59" s="10">
        <v>42.303687147164403</v>
      </c>
      <c r="P59" s="10">
        <v>1.9991046204145799</v>
      </c>
      <c r="Q59" s="10">
        <v>3.02955315139033</v>
      </c>
      <c r="R59" s="13"/>
      <c r="S59" s="20">
        <v>3.14159265358979</v>
      </c>
      <c r="T59" s="13"/>
      <c r="U59" s="13">
        <f t="shared" si="0"/>
        <v>0</v>
      </c>
      <c r="V59" s="13">
        <f t="shared" si="1"/>
        <v>0</v>
      </c>
      <c r="W59" s="13">
        <f t="shared" ref="W59:W65" si="8">(M59-S59)*180/PI()+360</f>
        <v>1.7112406430028955</v>
      </c>
      <c r="X59" s="13">
        <f t="shared" si="3"/>
        <v>-6.4193906147757636</v>
      </c>
      <c r="Z59" t="str">
        <f t="shared" si="4"/>
        <v>42,1.88059701492537</v>
      </c>
      <c r="AA59" t="str">
        <f t="shared" si="5"/>
        <v>42.1330377495494,3.61852987947978</v>
      </c>
      <c r="AB59" t="str">
        <f t="shared" si="6"/>
        <v>42.0046106977378,3.5195457405906</v>
      </c>
      <c r="AC59" t="str">
        <f t="shared" si="7"/>
        <v>42.3036871471644,1.99910462041458</v>
      </c>
    </row>
    <row r="60" spans="2:29" x14ac:dyDescent="0.2">
      <c r="B60" s="3">
        <v>58</v>
      </c>
      <c r="C60" s="6">
        <v>42</v>
      </c>
      <c r="D60" s="6">
        <v>2.8208955223880601</v>
      </c>
      <c r="E60" s="8">
        <v>3.14159265358979</v>
      </c>
      <c r="F60" s="7"/>
      <c r="G60" s="10">
        <v>42.133037749549402</v>
      </c>
      <c r="H60" s="10">
        <v>4.5588283869424702</v>
      </c>
      <c r="I60" s="10">
        <v>3.14159265358979</v>
      </c>
      <c r="K60" s="10">
        <v>41.976531180815002</v>
      </c>
      <c r="L60" s="10">
        <v>4.4594248944534502</v>
      </c>
      <c r="M60" s="10">
        <v>-3.0608158692575098</v>
      </c>
      <c r="N60" s="13"/>
      <c r="O60" s="10">
        <v>42.408817453823701</v>
      </c>
      <c r="P60" s="10">
        <v>2.93350758581991</v>
      </c>
      <c r="Q60" s="10">
        <v>3.0673198640569699</v>
      </c>
      <c r="R60" s="13"/>
      <c r="S60" s="20">
        <v>3.14159265358979</v>
      </c>
      <c r="T60" s="13"/>
      <c r="U60" s="13">
        <f t="shared" si="0"/>
        <v>0</v>
      </c>
      <c r="V60" s="13">
        <f t="shared" si="1"/>
        <v>0</v>
      </c>
      <c r="W60" s="13">
        <f t="shared" si="8"/>
        <v>4.6281688248784576</v>
      </c>
      <c r="X60" s="13">
        <f t="shared" si="3"/>
        <v>-4.2555173728940305</v>
      </c>
      <c r="Z60" t="str">
        <f t="shared" si="4"/>
        <v>42,2.82089552238806</v>
      </c>
      <c r="AA60" t="str">
        <f t="shared" si="5"/>
        <v>42.1330377495494,4.55882838694247</v>
      </c>
      <c r="AB60" t="str">
        <f t="shared" si="6"/>
        <v>41.976531180815,4.45942489445345</v>
      </c>
      <c r="AC60" t="str">
        <f t="shared" si="7"/>
        <v>42.4088174538237,2.93350758581991</v>
      </c>
    </row>
    <row r="61" spans="2:29" x14ac:dyDescent="0.2">
      <c r="B61" s="3">
        <v>59</v>
      </c>
      <c r="C61" s="6">
        <v>42</v>
      </c>
      <c r="D61" s="6">
        <v>3.7611940298507398</v>
      </c>
      <c r="E61" s="8">
        <v>3.14159265358979</v>
      </c>
      <c r="F61" s="7"/>
      <c r="G61" s="10">
        <v>42.133037749549402</v>
      </c>
      <c r="H61" s="10">
        <v>5.4991268944051503</v>
      </c>
      <c r="I61" s="10">
        <v>3.14159265358979</v>
      </c>
      <c r="K61" s="10">
        <v>41.900659463010001</v>
      </c>
      <c r="L61" s="10">
        <v>5.3966573979305101</v>
      </c>
      <c r="M61" s="10">
        <v>-3.1236999898128999</v>
      </c>
      <c r="N61" s="13"/>
      <c r="O61" s="10">
        <v>42.478591854522001</v>
      </c>
      <c r="P61" s="10">
        <v>3.8712137317652902</v>
      </c>
      <c r="Q61" s="10">
        <v>3.0085137080633499</v>
      </c>
      <c r="R61" s="13"/>
      <c r="S61" s="20">
        <v>3.14159265358979</v>
      </c>
      <c r="T61" s="13"/>
      <c r="U61" s="13">
        <f t="shared" si="0"/>
        <v>0</v>
      </c>
      <c r="V61" s="13">
        <f t="shared" si="1"/>
        <v>0</v>
      </c>
      <c r="W61" s="13">
        <f t="shared" si="8"/>
        <v>1.0251741186627896</v>
      </c>
      <c r="X61" s="13">
        <f t="shared" si="3"/>
        <v>-7.6248619207164037</v>
      </c>
      <c r="Z61" t="str">
        <f t="shared" si="4"/>
        <v>42,3.76119402985074</v>
      </c>
      <c r="AA61" t="str">
        <f t="shared" si="5"/>
        <v>42.1330377495494,5.49912689440515</v>
      </c>
      <c r="AB61" t="str">
        <f t="shared" si="6"/>
        <v>41.90065946301,5.39665739793051</v>
      </c>
      <c r="AC61" t="str">
        <f t="shared" si="7"/>
        <v>42.478591854522,3.87121373176529</v>
      </c>
    </row>
    <row r="62" spans="2:29" x14ac:dyDescent="0.2">
      <c r="B62" s="3">
        <v>60</v>
      </c>
      <c r="C62" s="6">
        <v>42</v>
      </c>
      <c r="D62" s="6">
        <v>4.7014925373134302</v>
      </c>
      <c r="E62" s="8">
        <v>3.14159265358979</v>
      </c>
      <c r="F62" s="7"/>
      <c r="G62" s="10">
        <v>42.133037749549402</v>
      </c>
      <c r="H62" s="10">
        <v>6.4394254018678403</v>
      </c>
      <c r="I62" s="10">
        <v>3.14159265358979</v>
      </c>
      <c r="K62" s="10">
        <v>41.883835915668797</v>
      </c>
      <c r="L62" s="10">
        <v>6.3368053923395902</v>
      </c>
      <c r="M62" s="10">
        <v>-3.0556046112179298</v>
      </c>
      <c r="N62" s="13"/>
      <c r="O62" s="10">
        <v>42.603356761519102</v>
      </c>
      <c r="P62" s="10">
        <v>4.8031981742956296</v>
      </c>
      <c r="Q62" s="10">
        <v>3.0769564148552799</v>
      </c>
      <c r="R62" s="13"/>
      <c r="S62" s="20">
        <v>3.14159265358979</v>
      </c>
      <c r="T62" s="13"/>
      <c r="U62" s="13">
        <f t="shared" si="0"/>
        <v>0</v>
      </c>
      <c r="V62" s="13">
        <f t="shared" si="1"/>
        <v>0</v>
      </c>
      <c r="W62" s="13">
        <f t="shared" si="8"/>
        <v>4.9267519165000522</v>
      </c>
      <c r="X62" s="13">
        <f t="shared" si="3"/>
        <v>-3.7033836830874405</v>
      </c>
      <c r="Z62" t="str">
        <f t="shared" si="4"/>
        <v>42,4.70149253731343</v>
      </c>
      <c r="AA62" t="str">
        <f t="shared" si="5"/>
        <v>42.1330377495494,6.43942540186784</v>
      </c>
      <c r="AB62" t="str">
        <f t="shared" si="6"/>
        <v>41.8838359156688,6.33680539233959</v>
      </c>
      <c r="AC62" t="str">
        <f t="shared" si="7"/>
        <v>42.6033567615191,4.80319817429563</v>
      </c>
    </row>
    <row r="63" spans="2:29" x14ac:dyDescent="0.2">
      <c r="B63" s="3">
        <v>61</v>
      </c>
      <c r="C63" s="6">
        <v>42</v>
      </c>
      <c r="D63" s="6">
        <v>5.6417910447761201</v>
      </c>
      <c r="E63" s="8">
        <v>3.14159265358979</v>
      </c>
      <c r="F63" s="7"/>
      <c r="G63" s="10">
        <v>42.133037749549402</v>
      </c>
      <c r="H63" s="10">
        <v>7.3797239093305302</v>
      </c>
      <c r="I63" s="10">
        <v>3.14159265358979</v>
      </c>
      <c r="K63" s="10">
        <v>41.8030810897815</v>
      </c>
      <c r="L63" s="10">
        <v>7.2736297842255304</v>
      </c>
      <c r="M63" s="10">
        <v>-3.1153022069413701</v>
      </c>
      <c r="N63" s="13"/>
      <c r="O63" s="10">
        <v>42.664091809454398</v>
      </c>
      <c r="P63" s="10">
        <v>5.7415331555730198</v>
      </c>
      <c r="Q63" s="10">
        <v>3.0128131482865501</v>
      </c>
      <c r="R63" s="13"/>
      <c r="S63" s="20">
        <v>3.14159265358979</v>
      </c>
      <c r="T63" s="13"/>
      <c r="U63" s="13">
        <f t="shared" si="0"/>
        <v>0</v>
      </c>
      <c r="V63" s="13">
        <f t="shared" si="1"/>
        <v>0</v>
      </c>
      <c r="W63" s="13">
        <f t="shared" si="8"/>
        <v>1.5063316344686655</v>
      </c>
      <c r="X63" s="13">
        <f t="shared" si="3"/>
        <v>-7.3785221416582489</v>
      </c>
      <c r="Z63" t="str">
        <f t="shared" si="4"/>
        <v>42,5.64179104477612</v>
      </c>
      <c r="AA63" t="str">
        <f t="shared" si="5"/>
        <v>42.1330377495494,7.37972390933053</v>
      </c>
      <c r="AB63" t="str">
        <f t="shared" si="6"/>
        <v>41.8030810897815,7.27362978422553</v>
      </c>
      <c r="AC63" t="str">
        <f t="shared" si="7"/>
        <v>42.6640918094544,5.74153315557302</v>
      </c>
    </row>
    <row r="64" spans="2:29" x14ac:dyDescent="0.2">
      <c r="B64" s="3">
        <v>62</v>
      </c>
      <c r="C64" s="6">
        <v>42</v>
      </c>
      <c r="D64" s="6">
        <v>6.5820895522388003</v>
      </c>
      <c r="E64" s="8">
        <v>3.14159265358979</v>
      </c>
      <c r="F64" s="7"/>
      <c r="G64" s="10">
        <v>42.133037749549402</v>
      </c>
      <c r="H64" s="10">
        <v>8.3200224167932095</v>
      </c>
      <c r="I64" s="10">
        <v>3.14159265358979</v>
      </c>
      <c r="K64" s="10">
        <v>41.778363069731903</v>
      </c>
      <c r="L64" s="10">
        <v>8.2136033490779603</v>
      </c>
      <c r="M64" s="10">
        <v>-3.1276051820747202</v>
      </c>
      <c r="N64" s="13"/>
      <c r="O64" s="10">
        <v>42.784848564247397</v>
      </c>
      <c r="P64" s="10">
        <v>6.6740454017705897</v>
      </c>
      <c r="Q64" s="10">
        <v>2.9995736571256901</v>
      </c>
      <c r="R64" s="13"/>
      <c r="S64" s="20">
        <v>3.14159265358979</v>
      </c>
      <c r="T64" s="13"/>
      <c r="U64" s="13">
        <f t="shared" si="0"/>
        <v>0</v>
      </c>
      <c r="V64" s="13">
        <f t="shared" si="1"/>
        <v>0</v>
      </c>
      <c r="W64" s="13">
        <f t="shared" si="8"/>
        <v>0.8014230838733738</v>
      </c>
      <c r="X64" s="13">
        <f t="shared" si="3"/>
        <v>-8.1370891080762853</v>
      </c>
      <c r="Z64" t="str">
        <f t="shared" si="4"/>
        <v>42,6.5820895522388</v>
      </c>
      <c r="AA64" t="str">
        <f t="shared" si="5"/>
        <v>42.1330377495494,8.32002241679321</v>
      </c>
      <c r="AB64" t="str">
        <f t="shared" si="6"/>
        <v>41.7783630697319,8.21360334907796</v>
      </c>
      <c r="AC64" t="str">
        <f t="shared" si="7"/>
        <v>42.7848485642474,6.67404540177059</v>
      </c>
    </row>
    <row r="65" spans="2:29" x14ac:dyDescent="0.2">
      <c r="B65" s="3">
        <v>63</v>
      </c>
      <c r="C65" s="6">
        <v>42</v>
      </c>
      <c r="D65" s="6">
        <v>7.5223880597014903</v>
      </c>
      <c r="E65" s="8">
        <v>3.14159265358979</v>
      </c>
      <c r="F65" s="7"/>
      <c r="G65" s="10">
        <v>42.133037749549402</v>
      </c>
      <c r="H65" s="10">
        <v>9.2603209242559004</v>
      </c>
      <c r="I65" s="10">
        <v>3.14159265358979</v>
      </c>
      <c r="K65" s="10">
        <v>41.7652111000153</v>
      </c>
      <c r="L65" s="10">
        <v>9.1538098736400499</v>
      </c>
      <c r="M65" s="10">
        <v>-3.0878566326125898</v>
      </c>
      <c r="N65" s="13"/>
      <c r="O65" s="10">
        <v>42.917940362792002</v>
      </c>
      <c r="P65" s="10">
        <v>7.6048772105828499</v>
      </c>
      <c r="Q65" s="10">
        <v>3.0408123748614599</v>
      </c>
      <c r="R65" s="13"/>
      <c r="S65" s="20">
        <v>3.14159265358979</v>
      </c>
      <c r="T65" s="13"/>
      <c r="U65" s="13">
        <f t="shared" si="0"/>
        <v>0</v>
      </c>
      <c r="V65" s="13">
        <f t="shared" si="1"/>
        <v>0</v>
      </c>
      <c r="W65" s="13">
        <f t="shared" si="8"/>
        <v>3.0788472098204238</v>
      </c>
      <c r="X65" s="13">
        <f t="shared" si="3"/>
        <v>-5.7742846292853791</v>
      </c>
      <c r="Z65" t="str">
        <f t="shared" si="4"/>
        <v>42,7.52238805970149</v>
      </c>
      <c r="AA65" t="str">
        <f t="shared" si="5"/>
        <v>42.1330377495494,9.2603209242559</v>
      </c>
      <c r="AB65" t="str">
        <f t="shared" si="6"/>
        <v>41.7652111000153,9.15380987364005</v>
      </c>
      <c r="AC65" t="str">
        <f t="shared" si="7"/>
        <v>42.917940362792,7.60487721058285</v>
      </c>
    </row>
    <row r="66" spans="2:29" x14ac:dyDescent="0.2">
      <c r="B66" s="3">
        <v>64</v>
      </c>
      <c r="C66" s="6">
        <v>42</v>
      </c>
      <c r="D66" s="6">
        <v>8.4626865671641802</v>
      </c>
      <c r="E66" s="8">
        <v>3.14159265358979</v>
      </c>
      <c r="F66" s="7"/>
      <c r="G66" s="10">
        <v>42.133037749549402</v>
      </c>
      <c r="H66" s="10">
        <v>10.2006194317186</v>
      </c>
      <c r="I66" s="10">
        <v>3.14159265358979</v>
      </c>
      <c r="K66" s="10">
        <v>41.714707513239702</v>
      </c>
      <c r="L66" s="10">
        <v>10.092751123591</v>
      </c>
      <c r="M66" s="10">
        <v>3.1362488275835201</v>
      </c>
      <c r="N66" s="13"/>
      <c r="O66" s="10">
        <v>43.012543576314201</v>
      </c>
      <c r="P66" s="10">
        <v>8.5404046100361306</v>
      </c>
      <c r="Q66" s="10">
        <v>2.98247871705526</v>
      </c>
      <c r="R66" s="13"/>
      <c r="S66" s="20">
        <v>3.14159265358979</v>
      </c>
      <c r="T66" s="13"/>
      <c r="U66" s="13">
        <f t="shared" si="0"/>
        <v>0</v>
      </c>
      <c r="V66" s="13">
        <f t="shared" si="1"/>
        <v>0</v>
      </c>
      <c r="W66" s="13">
        <f t="shared" si="2"/>
        <v>-0.30617867661151688</v>
      </c>
      <c r="X66" s="13">
        <f t="shared" si="3"/>
        <v>-9.1165570251410042</v>
      </c>
      <c r="Z66" t="str">
        <f t="shared" si="4"/>
        <v>42,8.46268656716418</v>
      </c>
      <c r="AA66" t="str">
        <f t="shared" si="5"/>
        <v>42.1330377495494,10.2006194317186</v>
      </c>
      <c r="AB66" t="str">
        <f t="shared" si="6"/>
        <v>41.7147075132397,10.092751123591</v>
      </c>
      <c r="AC66" t="str">
        <f t="shared" si="7"/>
        <v>43.0125435763142,8.54040461003613</v>
      </c>
    </row>
    <row r="67" spans="2:29" x14ac:dyDescent="0.2">
      <c r="B67" s="3">
        <v>65</v>
      </c>
      <c r="C67" s="6">
        <v>42</v>
      </c>
      <c r="D67" s="6">
        <v>9.4029850746268604</v>
      </c>
      <c r="E67" s="8">
        <v>3.14159265358979</v>
      </c>
      <c r="F67" s="7"/>
      <c r="G67" s="10">
        <v>42.133037749549402</v>
      </c>
      <c r="H67" s="10">
        <v>11.1409179391813</v>
      </c>
      <c r="I67" s="10">
        <v>3.1362488275835201</v>
      </c>
      <c r="K67" s="10">
        <v>41.719732280942601</v>
      </c>
      <c r="L67" s="10">
        <v>11.033036205279499</v>
      </c>
      <c r="M67" s="10">
        <v>-3.1107988341532899</v>
      </c>
      <c r="N67" s="13"/>
      <c r="O67" s="10">
        <v>43.161527667121199</v>
      </c>
      <c r="P67" s="10">
        <v>9.4688253249186598</v>
      </c>
      <c r="Q67" s="10">
        <v>3.0046202964059101</v>
      </c>
      <c r="R67" s="13"/>
      <c r="S67" s="20">
        <v>3.14159265358979</v>
      </c>
      <c r="T67" s="13"/>
      <c r="U67" s="13">
        <f t="shared" si="0"/>
        <v>0</v>
      </c>
      <c r="V67" s="13">
        <f t="shared" si="1"/>
        <v>-0.30617867661151688</v>
      </c>
      <c r="W67" s="13">
        <f>(M67-S67)*180/PI()+360</f>
        <v>1.7643558887997415</v>
      </c>
      <c r="X67" s="13">
        <f t="shared" si="3"/>
        <v>-7.8479379765947401</v>
      </c>
      <c r="Z67" t="str">
        <f t="shared" si="4"/>
        <v>42,9.40298507462686</v>
      </c>
      <c r="AA67" t="str">
        <f t="shared" si="5"/>
        <v>42.1330377495494,11.1409179391813</v>
      </c>
      <c r="AB67" t="str">
        <f t="shared" si="6"/>
        <v>41.7197322809426,11.0330362052795</v>
      </c>
      <c r="AC67" t="str">
        <f t="shared" si="7"/>
        <v>43.1615276671212,9.46882532491866</v>
      </c>
    </row>
    <row r="68" spans="2:29" x14ac:dyDescent="0.2">
      <c r="B68" s="3">
        <v>66</v>
      </c>
      <c r="C68" s="6">
        <v>42</v>
      </c>
      <c r="D68" s="6">
        <v>10.343283582089599</v>
      </c>
      <c r="E68" s="8">
        <v>3.14159265358979</v>
      </c>
      <c r="F68" s="7"/>
      <c r="G68" s="10">
        <v>42.138062517252202</v>
      </c>
      <c r="H68" s="10">
        <v>12.0812030208699</v>
      </c>
      <c r="I68" s="10">
        <v>3.14159265358979</v>
      </c>
      <c r="K68" s="10">
        <v>41.690781474472203</v>
      </c>
      <c r="L68" s="10">
        <v>11.9728889245613</v>
      </c>
      <c r="M68" s="10">
        <v>-3.0640240643936698</v>
      </c>
      <c r="N68" s="13"/>
      <c r="O68" s="10">
        <v>43.289920218410998</v>
      </c>
      <c r="P68" s="10">
        <v>10.4003169437268</v>
      </c>
      <c r="Q68" s="10">
        <v>3.0495388902890999</v>
      </c>
      <c r="R68" s="13"/>
      <c r="S68" s="20">
        <v>3.14159265358979</v>
      </c>
      <c r="T68" s="13"/>
      <c r="U68" s="13">
        <f t="shared" ref="U68:U131" si="9">E68-S68</f>
        <v>0</v>
      </c>
      <c r="V68" s="13">
        <f t="shared" ref="V68:V131" si="10">(I68-S68)*180/PI()</f>
        <v>0</v>
      </c>
      <c r="W68" s="13">
        <f t="shared" ref="W68:W73" si="11">(M68-S68)*180/PI()+360</f>
        <v>4.4443527837221382</v>
      </c>
      <c r="X68" s="13">
        <f t="shared" ref="X68:X131" si="12">(Q68-S68)*180/PI()</f>
        <v>-5.2742921254258119</v>
      </c>
      <c r="Z68" t="str">
        <f t="shared" ref="Z68:Z131" si="13">C68&amp;","&amp;D68</f>
        <v>42,10.3432835820896</v>
      </c>
      <c r="AA68" t="str">
        <f t="shared" ref="AA68:AA131" si="14">G68&amp;","&amp;H68</f>
        <v>42.1380625172522,12.0812030208699</v>
      </c>
      <c r="AB68" t="str">
        <f t="shared" ref="AB68:AB131" si="15">K68&amp;","&amp;L68</f>
        <v>41.6907814744722,11.9728889245613</v>
      </c>
      <c r="AC68" t="str">
        <f t="shared" ref="AC68:AC131" si="16">O68&amp;","&amp;P68</f>
        <v>43.289920218411,10.4003169437268</v>
      </c>
    </row>
    <row r="69" spans="2:29" x14ac:dyDescent="0.2">
      <c r="B69" s="3">
        <v>67</v>
      </c>
      <c r="C69" s="6">
        <v>42</v>
      </c>
      <c r="D69" s="6">
        <v>11.283582089552199</v>
      </c>
      <c r="E69" s="8">
        <v>3.14159265358979</v>
      </c>
      <c r="F69" s="7"/>
      <c r="G69" s="10">
        <v>42.138062517252202</v>
      </c>
      <c r="H69" s="10">
        <v>13.0215015283325</v>
      </c>
      <c r="I69" s="10">
        <v>3.14159265358979</v>
      </c>
      <c r="K69" s="10">
        <v>41.617916966723499</v>
      </c>
      <c r="L69" s="10">
        <v>12.9103600156607</v>
      </c>
      <c r="M69" s="10">
        <v>-3.1115484789810202</v>
      </c>
      <c r="N69" s="13"/>
      <c r="O69" s="10">
        <v>43.3763560391724</v>
      </c>
      <c r="P69" s="10">
        <v>11.3366342681558</v>
      </c>
      <c r="Q69" s="10">
        <v>3.00547930264604</v>
      </c>
      <c r="R69" s="13"/>
      <c r="S69" s="20">
        <v>3.14159265358979</v>
      </c>
      <c r="T69" s="13"/>
      <c r="U69" s="13">
        <f t="shared" si="9"/>
        <v>0</v>
      </c>
      <c r="V69" s="13">
        <f t="shared" si="10"/>
        <v>0</v>
      </c>
      <c r="W69" s="13">
        <f t="shared" si="11"/>
        <v>1.7214044040370027</v>
      </c>
      <c r="X69" s="13">
        <f t="shared" si="12"/>
        <v>-7.7987205444598953</v>
      </c>
      <c r="Z69" t="str">
        <f t="shared" si="13"/>
        <v>42,11.2835820895522</v>
      </c>
      <c r="AA69" t="str">
        <f t="shared" si="14"/>
        <v>42.1380625172522,13.0215015283325</v>
      </c>
      <c r="AB69" t="str">
        <f t="shared" si="15"/>
        <v>41.6179169667235,12.9103600156607</v>
      </c>
      <c r="AC69" t="str">
        <f t="shared" si="16"/>
        <v>43.3763560391724,11.3366342681558</v>
      </c>
    </row>
    <row r="70" spans="2:29" x14ac:dyDescent="0.2">
      <c r="B70" s="3">
        <v>68</v>
      </c>
      <c r="C70" s="6">
        <v>42</v>
      </c>
      <c r="D70" s="6">
        <v>12.223880597014899</v>
      </c>
      <c r="E70" s="8">
        <v>3.14159265358979</v>
      </c>
      <c r="F70" s="7"/>
      <c r="G70" s="10">
        <v>42.138062517252202</v>
      </c>
      <c r="H70" s="10">
        <v>13.9618000357952</v>
      </c>
      <c r="I70" s="10">
        <v>3.14159265358979</v>
      </c>
      <c r="K70" s="10">
        <v>41.5896707240517</v>
      </c>
      <c r="L70" s="10">
        <v>13.8502341736794</v>
      </c>
      <c r="M70" s="10">
        <v>-3.0609001928326101</v>
      </c>
      <c r="N70" s="13"/>
      <c r="O70" s="10">
        <v>43.503948386077496</v>
      </c>
      <c r="P70" s="10">
        <v>12.2682358332832</v>
      </c>
      <c r="Q70" s="10">
        <v>3.04516966155958</v>
      </c>
      <c r="R70" s="13"/>
      <c r="S70" s="20">
        <v>3.14159265358979</v>
      </c>
      <c r="T70" s="13"/>
      <c r="U70" s="13">
        <f t="shared" si="9"/>
        <v>0</v>
      </c>
      <c r="V70" s="13">
        <f t="shared" si="10"/>
        <v>0</v>
      </c>
      <c r="W70" s="13">
        <f t="shared" si="11"/>
        <v>4.6233374399117793</v>
      </c>
      <c r="X70" s="13">
        <f t="shared" si="12"/>
        <v>-5.5246304913546052</v>
      </c>
      <c r="Z70" t="str">
        <f t="shared" si="13"/>
        <v>42,12.2238805970149</v>
      </c>
      <c r="AA70" t="str">
        <f t="shared" si="14"/>
        <v>42.1380625172522,13.9618000357952</v>
      </c>
      <c r="AB70" t="str">
        <f t="shared" si="15"/>
        <v>41.5896707240517,13.8502341736794</v>
      </c>
      <c r="AC70" t="str">
        <f t="shared" si="16"/>
        <v>43.5039483860775,12.2682358332832</v>
      </c>
    </row>
    <row r="71" spans="2:29" x14ac:dyDescent="0.2">
      <c r="B71" s="3">
        <v>69</v>
      </c>
      <c r="C71" s="6">
        <v>42</v>
      </c>
      <c r="D71" s="6">
        <v>13.164179104477601</v>
      </c>
      <c r="E71" s="8">
        <v>3.14159265358979</v>
      </c>
      <c r="F71" s="7"/>
      <c r="G71" s="10">
        <v>42.138062517252202</v>
      </c>
      <c r="H71" s="10">
        <v>14.9020985432579</v>
      </c>
      <c r="I71" s="10">
        <v>3.14159265358979</v>
      </c>
      <c r="K71" s="10">
        <v>41.513878037311699</v>
      </c>
      <c r="L71" s="10">
        <v>14.7874730715989</v>
      </c>
      <c r="M71" s="10">
        <v>-3.0950903616263501</v>
      </c>
      <c r="N71" s="13"/>
      <c r="O71" s="10">
        <v>43.594474353340999</v>
      </c>
      <c r="P71" s="10">
        <v>13.204166563833001</v>
      </c>
      <c r="Q71" s="10">
        <v>3.0194580902717898</v>
      </c>
      <c r="R71" s="13"/>
      <c r="S71" s="20">
        <v>3.14159265358979</v>
      </c>
      <c r="T71" s="13"/>
      <c r="U71" s="13">
        <f t="shared" si="9"/>
        <v>0</v>
      </c>
      <c r="V71" s="13">
        <f t="shared" si="10"/>
        <v>0</v>
      </c>
      <c r="W71" s="13">
        <f t="shared" si="11"/>
        <v>2.6643850671905511</v>
      </c>
      <c r="X71" s="13">
        <f t="shared" si="12"/>
        <v>-6.9977950107947322</v>
      </c>
      <c r="Z71" t="str">
        <f t="shared" si="13"/>
        <v>42,13.1641791044776</v>
      </c>
      <c r="AA71" t="str">
        <f t="shared" si="14"/>
        <v>42.1380625172522,14.9020985432579</v>
      </c>
      <c r="AB71" t="str">
        <f t="shared" si="15"/>
        <v>41.5138780373117,14.7874730715989</v>
      </c>
      <c r="AC71" t="str">
        <f t="shared" si="16"/>
        <v>43.594474353341,13.204166563833</v>
      </c>
    </row>
    <row r="72" spans="2:29" x14ac:dyDescent="0.2">
      <c r="B72" s="3">
        <v>70</v>
      </c>
      <c r="C72" s="6">
        <v>42</v>
      </c>
      <c r="D72" s="6">
        <v>14.1044776119403</v>
      </c>
      <c r="E72" s="8">
        <v>3.14159265358979</v>
      </c>
      <c r="F72" s="7"/>
      <c r="G72" s="10">
        <v>42.138062517252202</v>
      </c>
      <c r="H72" s="10">
        <v>15.842397050720599</v>
      </c>
      <c r="I72" s="10">
        <v>3.14159265358979</v>
      </c>
      <c r="K72" s="10">
        <v>41.4701677592046</v>
      </c>
      <c r="L72" s="10">
        <v>15.7267550818197</v>
      </c>
      <c r="M72" s="10">
        <v>-3.1367231308055099</v>
      </c>
      <c r="N72" s="13"/>
      <c r="O72" s="10">
        <v>43.7090319979458</v>
      </c>
      <c r="P72" s="10">
        <v>14.1374606381736</v>
      </c>
      <c r="Q72" s="10">
        <v>2.9669528626092001</v>
      </c>
      <c r="R72" s="13"/>
      <c r="S72" s="20">
        <v>3.14159265358979</v>
      </c>
      <c r="T72" s="13"/>
      <c r="U72" s="13">
        <f t="shared" si="9"/>
        <v>0</v>
      </c>
      <c r="V72" s="13">
        <f t="shared" si="10"/>
        <v>0</v>
      </c>
      <c r="W72" s="13">
        <f t="shared" si="11"/>
        <v>0.27900310378237236</v>
      </c>
      <c r="X72" s="13">
        <f t="shared" si="12"/>
        <v>-10.006122958234663</v>
      </c>
      <c r="Z72" t="str">
        <f t="shared" si="13"/>
        <v>42,14.1044776119403</v>
      </c>
      <c r="AA72" t="str">
        <f t="shared" si="14"/>
        <v>42.1380625172522,15.8423970507206</v>
      </c>
      <c r="AB72" t="str">
        <f t="shared" si="15"/>
        <v>41.4701677592046,15.7267550818197</v>
      </c>
      <c r="AC72" t="str">
        <f t="shared" si="16"/>
        <v>43.7090319979458,14.1374606381736</v>
      </c>
    </row>
    <row r="73" spans="2:29" x14ac:dyDescent="0.2">
      <c r="B73" s="3">
        <v>71</v>
      </c>
      <c r="C73" s="6">
        <v>42</v>
      </c>
      <c r="D73" s="6">
        <v>15.044776119403</v>
      </c>
      <c r="E73" s="8">
        <v>3.14159265358979</v>
      </c>
      <c r="F73" s="7"/>
      <c r="G73" s="10">
        <v>42.138062517252202</v>
      </c>
      <c r="H73" s="10">
        <v>16.782695558183299</v>
      </c>
      <c r="I73" s="10">
        <v>3.14159265358979</v>
      </c>
      <c r="K73" s="10">
        <v>41.4655889722941</v>
      </c>
      <c r="L73" s="10">
        <v>16.6670424410067</v>
      </c>
      <c r="M73" s="10">
        <v>-3.0992051114653298</v>
      </c>
      <c r="N73" s="13"/>
      <c r="O73" s="10">
        <v>43.872412078427502</v>
      </c>
      <c r="P73" s="10">
        <v>15.0634564440163</v>
      </c>
      <c r="Q73" s="10">
        <v>2.9993193277308401</v>
      </c>
      <c r="R73" s="13"/>
      <c r="S73" s="20">
        <v>3.14159265358979</v>
      </c>
      <c r="T73" s="13"/>
      <c r="U73" s="13">
        <f t="shared" si="9"/>
        <v>0</v>
      </c>
      <c r="V73" s="13">
        <f t="shared" si="10"/>
        <v>0</v>
      </c>
      <c r="W73" s="13">
        <f t="shared" si="11"/>
        <v>2.4286272676649219</v>
      </c>
      <c r="X73" s="13">
        <f t="shared" si="12"/>
        <v>-8.1516611090073088</v>
      </c>
      <c r="Z73" t="str">
        <f t="shared" si="13"/>
        <v>42,15.044776119403</v>
      </c>
      <c r="AA73" t="str">
        <f t="shared" si="14"/>
        <v>42.1380625172522,16.7826955581833</v>
      </c>
      <c r="AB73" t="str">
        <f t="shared" si="15"/>
        <v>41.4655889722941,16.6670424410067</v>
      </c>
      <c r="AC73" t="str">
        <f t="shared" si="16"/>
        <v>43.8724120784275,15.0634564440163</v>
      </c>
    </row>
    <row r="74" spans="2:29" x14ac:dyDescent="0.2">
      <c r="B74" s="3">
        <v>72</v>
      </c>
      <c r="C74" s="6">
        <v>42</v>
      </c>
      <c r="D74" s="6">
        <v>15.9850746268657</v>
      </c>
      <c r="E74" s="8">
        <v>3.14159265358979</v>
      </c>
      <c r="F74" s="7"/>
      <c r="G74" s="10">
        <v>42.138062517252202</v>
      </c>
      <c r="H74" s="10">
        <v>17.722994065645999</v>
      </c>
      <c r="I74" s="10">
        <v>3.14159265358979</v>
      </c>
      <c r="K74" s="10">
        <v>41.425743963813503</v>
      </c>
      <c r="L74" s="10">
        <v>17.606496356021001</v>
      </c>
      <c r="M74" s="10">
        <v>3.1279896418483202</v>
      </c>
      <c r="N74" s="13"/>
      <c r="O74" s="10">
        <v>44.005740610555797</v>
      </c>
      <c r="P74" s="10">
        <v>15.994254373567699</v>
      </c>
      <c r="Q74" s="10">
        <v>2.9655719161370602</v>
      </c>
      <c r="R74" s="13"/>
      <c r="S74" s="20">
        <v>3.14159265358979</v>
      </c>
      <c r="T74" s="13"/>
      <c r="U74" s="13">
        <f t="shared" si="9"/>
        <v>0</v>
      </c>
      <c r="V74" s="13">
        <f t="shared" si="10"/>
        <v>0</v>
      </c>
      <c r="W74" s="13">
        <f t="shared" ref="W68:W131" si="17">(M74-S74)*180/PI()</f>
        <v>-0.77939516145312526</v>
      </c>
      <c r="X74" s="13">
        <f t="shared" si="12"/>
        <v>-10.085245362821761</v>
      </c>
      <c r="Z74" t="str">
        <f t="shared" si="13"/>
        <v>42,15.9850746268657</v>
      </c>
      <c r="AA74" t="str">
        <f t="shared" si="14"/>
        <v>42.1380625172522,17.722994065646</v>
      </c>
      <c r="AB74" t="str">
        <f t="shared" si="15"/>
        <v>41.4257439638135,17.606496356021</v>
      </c>
      <c r="AC74" t="str">
        <f t="shared" si="16"/>
        <v>44.0057406105558,15.9942543735677</v>
      </c>
    </row>
    <row r="75" spans="2:29" x14ac:dyDescent="0.2">
      <c r="B75" s="3">
        <v>73</v>
      </c>
      <c r="C75" s="6">
        <v>42</v>
      </c>
      <c r="D75" s="6">
        <v>16.9253731343284</v>
      </c>
      <c r="E75" s="8">
        <v>3.14159265358979</v>
      </c>
      <c r="F75" s="7"/>
      <c r="G75" s="10">
        <v>42.138062517252202</v>
      </c>
      <c r="H75" s="10">
        <v>18.663292573108698</v>
      </c>
      <c r="I75" s="10">
        <v>3.1279896418483202</v>
      </c>
      <c r="K75" s="10">
        <v>41.438534460979398</v>
      </c>
      <c r="L75" s="10">
        <v>18.5467078675007</v>
      </c>
      <c r="M75" s="10">
        <v>3.1252952242073402</v>
      </c>
      <c r="N75" s="13"/>
      <c r="O75" s="10">
        <v>44.170399285488401</v>
      </c>
      <c r="P75" s="10">
        <v>16.920023677393399</v>
      </c>
      <c r="Q75" s="10">
        <v>2.95217399060963</v>
      </c>
      <c r="R75" s="13"/>
      <c r="S75" s="20">
        <v>3.14159265358979</v>
      </c>
      <c r="T75" s="13"/>
      <c r="U75" s="13">
        <f t="shared" si="9"/>
        <v>0</v>
      </c>
      <c r="V75" s="13">
        <f t="shared" si="10"/>
        <v>-0.77939516145312526</v>
      </c>
      <c r="W75" s="13">
        <f t="shared" si="17"/>
        <v>-0.93377392052687447</v>
      </c>
      <c r="X75" s="13">
        <f t="shared" si="12"/>
        <v>-10.852889949774093</v>
      </c>
      <c r="Z75" t="str">
        <f t="shared" si="13"/>
        <v>42,16.9253731343284</v>
      </c>
      <c r="AA75" t="str">
        <f t="shared" si="14"/>
        <v>42.1380625172522,18.6632925731087</v>
      </c>
      <c r="AB75" t="str">
        <f t="shared" si="15"/>
        <v>41.4385344609794,18.5467078675007</v>
      </c>
      <c r="AC75" t="str">
        <f t="shared" si="16"/>
        <v>44.1703992854884,16.9200236773934</v>
      </c>
    </row>
    <row r="76" spans="2:29" x14ac:dyDescent="0.2">
      <c r="B76" s="3">
        <v>74</v>
      </c>
      <c r="C76" s="6">
        <v>42</v>
      </c>
      <c r="D76" s="6">
        <v>17.865671641791</v>
      </c>
      <c r="E76" s="8">
        <v>3.14159265358979</v>
      </c>
      <c r="F76" s="7"/>
      <c r="G76" s="10">
        <v>42.150853014418203</v>
      </c>
      <c r="H76" s="10">
        <v>19.603504084588302</v>
      </c>
      <c r="I76" s="10">
        <v>3.1252952242073402</v>
      </c>
      <c r="K76" s="10">
        <v>41.453858231134198</v>
      </c>
      <c r="L76" s="10">
        <v>19.486881503168501</v>
      </c>
      <c r="M76" s="10">
        <v>-3.1384373197655102</v>
      </c>
      <c r="N76" s="13"/>
      <c r="O76" s="10">
        <v>44.347446199277499</v>
      </c>
      <c r="P76" s="10">
        <v>17.843503873962</v>
      </c>
      <c r="Q76" s="10">
        <v>2.9582396825709698</v>
      </c>
      <c r="R76" s="13"/>
      <c r="S76" s="20">
        <v>3.14159265358979</v>
      </c>
      <c r="T76" s="13"/>
      <c r="U76" s="13">
        <f t="shared" si="9"/>
        <v>0</v>
      </c>
      <c r="V76" s="13">
        <f t="shared" si="10"/>
        <v>-0.93377392052687447</v>
      </c>
      <c r="W76" s="13">
        <f>(M76-S76)*180/PI()+360</f>
        <v>0.18078731108647617</v>
      </c>
      <c r="X76" s="13">
        <f t="shared" si="12"/>
        <v>-10.505351400562896</v>
      </c>
      <c r="Z76" t="str">
        <f t="shared" si="13"/>
        <v>42,17.865671641791</v>
      </c>
      <c r="AA76" t="str">
        <f t="shared" si="14"/>
        <v>42.1508530144182,19.6035040845883</v>
      </c>
      <c r="AB76" t="str">
        <f t="shared" si="15"/>
        <v>41.4538582311342,19.4868815031685</v>
      </c>
      <c r="AC76" t="str">
        <f t="shared" si="16"/>
        <v>44.3474461992775,17.843503873962</v>
      </c>
    </row>
    <row r="77" spans="2:29" x14ac:dyDescent="0.2">
      <c r="B77" s="3">
        <v>75</v>
      </c>
      <c r="C77" s="6">
        <v>42</v>
      </c>
      <c r="D77" s="6">
        <v>18.805970149253699</v>
      </c>
      <c r="E77" s="8">
        <v>3.14159265358979</v>
      </c>
      <c r="F77" s="7"/>
      <c r="G77" s="10">
        <v>42.166176784572897</v>
      </c>
      <c r="H77" s="10">
        <v>20.543677720256099</v>
      </c>
      <c r="I77" s="10">
        <v>3.14159265358979</v>
      </c>
      <c r="K77" s="10">
        <v>41.450891280371899</v>
      </c>
      <c r="L77" s="10">
        <v>20.427175329767199</v>
      </c>
      <c r="M77" s="10">
        <v>3.1224864506439598</v>
      </c>
      <c r="N77" s="13"/>
      <c r="O77" s="10">
        <v>44.518888344011202</v>
      </c>
      <c r="P77" s="10">
        <v>18.768040987411599</v>
      </c>
      <c r="Q77" s="10">
        <v>2.9524682856999802</v>
      </c>
      <c r="R77" s="13"/>
      <c r="S77" s="20">
        <v>3.14159265358979</v>
      </c>
      <c r="T77" s="13"/>
      <c r="U77" s="13">
        <f t="shared" si="9"/>
        <v>0</v>
      </c>
      <c r="V77" s="13">
        <f t="shared" si="10"/>
        <v>0</v>
      </c>
      <c r="W77" s="13">
        <f t="shared" si="17"/>
        <v>-1.0947047913164916</v>
      </c>
      <c r="X77" s="13">
        <f t="shared" si="12"/>
        <v>-10.83602808316561</v>
      </c>
      <c r="Z77" t="str">
        <f t="shared" si="13"/>
        <v>42,18.8059701492537</v>
      </c>
      <c r="AA77" t="str">
        <f t="shared" si="14"/>
        <v>42.1661767845729,20.5436777202561</v>
      </c>
      <c r="AB77" t="str">
        <f t="shared" si="15"/>
        <v>41.4508912803719,20.4271753297672</v>
      </c>
      <c r="AC77" t="str">
        <f t="shared" si="16"/>
        <v>44.5188883440112,18.7680409874116</v>
      </c>
    </row>
    <row r="78" spans="2:29" x14ac:dyDescent="0.2">
      <c r="B78" s="3">
        <v>76</v>
      </c>
      <c r="C78" s="6">
        <v>42</v>
      </c>
      <c r="D78" s="6">
        <v>19.746268656716399</v>
      </c>
      <c r="E78" s="8">
        <v>3.14159265358979</v>
      </c>
      <c r="F78" s="7"/>
      <c r="G78" s="10">
        <v>42.166176784572897</v>
      </c>
      <c r="H78" s="10">
        <v>21.483976227718799</v>
      </c>
      <c r="I78" s="10">
        <v>3.1224864506439598</v>
      </c>
      <c r="K78" s="10">
        <v>41.468855721460997</v>
      </c>
      <c r="L78" s="10">
        <v>21.3673022158804</v>
      </c>
      <c r="M78" s="10">
        <v>-3.1179260831430602</v>
      </c>
      <c r="N78" s="13"/>
      <c r="O78" s="10">
        <v>44.695663474449297</v>
      </c>
      <c r="P78" s="10">
        <v>19.691573248025701</v>
      </c>
      <c r="Q78" s="10">
        <v>2.9778004701025802</v>
      </c>
      <c r="R78" s="13"/>
      <c r="S78" s="20">
        <v>3.14159265358979</v>
      </c>
      <c r="T78" s="13"/>
      <c r="U78" s="13">
        <f t="shared" si="9"/>
        <v>0</v>
      </c>
      <c r="V78" s="13">
        <f t="shared" si="10"/>
        <v>-1.0947047913164916</v>
      </c>
      <c r="W78" s="13">
        <f>(M78-S78)*180/PI()+360</f>
        <v>1.35599460214695</v>
      </c>
      <c r="X78" s="13">
        <f t="shared" si="12"/>
        <v>-9.3846008310494966</v>
      </c>
      <c r="Z78" t="str">
        <f t="shared" si="13"/>
        <v>42,19.7462686567164</v>
      </c>
      <c r="AA78" t="str">
        <f t="shared" si="14"/>
        <v>42.1661767845729,21.4839762277188</v>
      </c>
      <c r="AB78" t="str">
        <f t="shared" si="15"/>
        <v>41.468855721461,21.3673022158804</v>
      </c>
      <c r="AC78" t="str">
        <f t="shared" si="16"/>
        <v>44.6956634744493,19.6915732480257</v>
      </c>
    </row>
    <row r="79" spans="2:29" x14ac:dyDescent="0.2">
      <c r="B79" s="3">
        <v>77</v>
      </c>
      <c r="C79" s="6">
        <v>42</v>
      </c>
      <c r="D79" s="6">
        <v>20.686567164179099</v>
      </c>
      <c r="E79" s="8">
        <v>3.14159265358979</v>
      </c>
      <c r="F79" s="7"/>
      <c r="G79" s="10">
        <v>42.184141225662003</v>
      </c>
      <c r="H79" s="10">
        <v>22.424103113832</v>
      </c>
      <c r="I79" s="10">
        <v>3.14159265358979</v>
      </c>
      <c r="K79" s="10">
        <v>41.446604157936697</v>
      </c>
      <c r="L79" s="10">
        <v>22.307337401954499</v>
      </c>
      <c r="M79" s="10">
        <v>3.1360317982529802</v>
      </c>
      <c r="N79" s="13"/>
      <c r="O79" s="10">
        <v>44.8489893004637</v>
      </c>
      <c r="P79" s="10">
        <v>20.619286821395001</v>
      </c>
      <c r="Q79" s="10">
        <v>2.94794103091315</v>
      </c>
      <c r="R79" s="13"/>
      <c r="S79" s="20">
        <v>3.14159265358979</v>
      </c>
      <c r="T79" s="13"/>
      <c r="U79" s="13">
        <f t="shared" si="9"/>
        <v>0</v>
      </c>
      <c r="V79" s="13">
        <f t="shared" si="10"/>
        <v>0</v>
      </c>
      <c r="W79" s="13">
        <f t="shared" si="17"/>
        <v>-0.31861354128200337</v>
      </c>
      <c r="X79" s="13">
        <f t="shared" si="12"/>
        <v>-11.095420675231381</v>
      </c>
      <c r="Z79" t="str">
        <f t="shared" si="13"/>
        <v>42,20.6865671641791</v>
      </c>
      <c r="AA79" t="str">
        <f t="shared" si="14"/>
        <v>42.184141225662,22.424103113832</v>
      </c>
      <c r="AB79" t="str">
        <f t="shared" si="15"/>
        <v>41.4466041579367,22.3073374019545</v>
      </c>
      <c r="AC79" t="str">
        <f t="shared" si="16"/>
        <v>44.8489893004637,20.619286821395</v>
      </c>
    </row>
    <row r="80" spans="2:29" x14ac:dyDescent="0.2">
      <c r="B80" s="3">
        <v>78</v>
      </c>
      <c r="C80" s="6">
        <v>42</v>
      </c>
      <c r="D80" s="6">
        <v>21.626865671641799</v>
      </c>
      <c r="E80" s="8">
        <v>3.14159265358979</v>
      </c>
      <c r="F80" s="7"/>
      <c r="G80" s="10">
        <v>42.184141225662003</v>
      </c>
      <c r="H80" s="10">
        <v>23.3644016212947</v>
      </c>
      <c r="I80" s="10">
        <v>3.1360317982529802</v>
      </c>
      <c r="K80" s="10">
        <v>41.4518329949614</v>
      </c>
      <c r="L80" s="10">
        <v>23.247621370976599</v>
      </c>
      <c r="M80" s="10">
        <v>-3.0693463921838799</v>
      </c>
      <c r="N80" s="13"/>
      <c r="O80" s="10">
        <v>45.029943670875397</v>
      </c>
      <c r="P80" s="10">
        <v>21.542009314328499</v>
      </c>
      <c r="Q80" s="10">
        <v>3.0361039456528198</v>
      </c>
      <c r="R80" s="13"/>
      <c r="S80" s="20">
        <v>3.14159265358979</v>
      </c>
      <c r="T80" s="13"/>
      <c r="U80" s="13">
        <f t="shared" si="9"/>
        <v>0</v>
      </c>
      <c r="V80" s="13">
        <f t="shared" si="10"/>
        <v>-0.31861354128200337</v>
      </c>
      <c r="W80" s="13">
        <f>(M80-S80)*180/PI()+360</f>
        <v>4.1394058641579363</v>
      </c>
      <c r="X80" s="13">
        <f t="shared" si="12"/>
        <v>-6.0440577510765818</v>
      </c>
      <c r="Z80" t="str">
        <f t="shared" si="13"/>
        <v>42,21.6268656716418</v>
      </c>
      <c r="AA80" t="str">
        <f t="shared" si="14"/>
        <v>42.184141225662,23.3644016212947</v>
      </c>
      <c r="AB80" t="str">
        <f t="shared" si="15"/>
        <v>41.4518329949614,23.2476213709766</v>
      </c>
      <c r="AC80" t="str">
        <f t="shared" si="16"/>
        <v>45.0299436708754,21.5420093143285</v>
      </c>
    </row>
    <row r="81" spans="2:29" x14ac:dyDescent="0.2">
      <c r="B81" s="3">
        <v>79</v>
      </c>
      <c r="C81" s="6">
        <v>42</v>
      </c>
      <c r="D81" s="6">
        <v>22.567164179104498</v>
      </c>
      <c r="E81" s="8">
        <v>3.14159265358979</v>
      </c>
      <c r="F81" s="7"/>
      <c r="G81" s="10">
        <v>42.189370062686699</v>
      </c>
      <c r="H81" s="10">
        <v>24.304685590316701</v>
      </c>
      <c r="I81" s="10">
        <v>3.14159265358979</v>
      </c>
      <c r="K81" s="10">
        <v>41.383959024117097</v>
      </c>
      <c r="L81" s="10">
        <v>24.185466991117998</v>
      </c>
      <c r="M81" s="10">
        <v>-3.1369532712065502</v>
      </c>
      <c r="N81" s="13"/>
      <c r="O81" s="10">
        <v>45.128950684013397</v>
      </c>
      <c r="P81" s="10">
        <v>22.477080912916598</v>
      </c>
      <c r="Q81" s="10">
        <v>2.9699673115981202</v>
      </c>
      <c r="R81" s="13"/>
      <c r="S81" s="20">
        <v>3.14159265358979</v>
      </c>
      <c r="T81" s="13"/>
      <c r="U81" s="13">
        <f t="shared" si="9"/>
        <v>0</v>
      </c>
      <c r="V81" s="13">
        <f t="shared" si="10"/>
        <v>0</v>
      </c>
      <c r="W81" s="13">
        <f t="shared" ref="W81:W82" si="18">(M81-S81)*180/PI()+360</f>
        <v>0.26581703010731417</v>
      </c>
      <c r="X81" s="13">
        <f t="shared" si="12"/>
        <v>-9.833407753612061</v>
      </c>
      <c r="Z81" t="str">
        <f t="shared" si="13"/>
        <v>42,22.5671641791045</v>
      </c>
      <c r="AA81" t="str">
        <f t="shared" si="14"/>
        <v>42.1893700626867,24.3046855903167</v>
      </c>
      <c r="AB81" t="str">
        <f t="shared" si="15"/>
        <v>41.3839590241171,24.185466991118</v>
      </c>
      <c r="AC81" t="str">
        <f t="shared" si="16"/>
        <v>45.1289506840134,22.4770809129166</v>
      </c>
    </row>
    <row r="82" spans="2:29" x14ac:dyDescent="0.2">
      <c r="B82" s="3">
        <v>80</v>
      </c>
      <c r="C82" s="6">
        <v>42</v>
      </c>
      <c r="D82" s="6">
        <v>23.507462686567202</v>
      </c>
      <c r="E82" s="8">
        <v>3.14159265358979</v>
      </c>
      <c r="F82" s="7"/>
      <c r="G82" s="10">
        <v>42.189370062686699</v>
      </c>
      <c r="H82" s="10">
        <v>25.244984097779401</v>
      </c>
      <c r="I82" s="10">
        <v>3.14159265358979</v>
      </c>
      <c r="K82" s="10">
        <v>41.379596635435902</v>
      </c>
      <c r="L82" s="10">
        <v>25.125755379167899</v>
      </c>
      <c r="M82" s="10">
        <v>-3.1229086977957299</v>
      </c>
      <c r="N82" s="13"/>
      <c r="O82" s="10">
        <v>45.2895386592931</v>
      </c>
      <c r="P82" s="10">
        <v>23.403565011718101</v>
      </c>
      <c r="Q82" s="10">
        <v>2.9773776326641102</v>
      </c>
      <c r="R82" s="13"/>
      <c r="S82" s="20">
        <v>3.14159265358979</v>
      </c>
      <c r="T82" s="13"/>
      <c r="U82" s="13">
        <f t="shared" si="9"/>
        <v>0</v>
      </c>
      <c r="V82" s="13">
        <f t="shared" si="10"/>
        <v>0</v>
      </c>
      <c r="W82" s="13">
        <f t="shared" si="18"/>
        <v>1.0705118116090375</v>
      </c>
      <c r="X82" s="13">
        <f t="shared" si="12"/>
        <v>-9.4088276316939528</v>
      </c>
      <c r="Z82" t="str">
        <f t="shared" si="13"/>
        <v>42,23.5074626865672</v>
      </c>
      <c r="AA82" t="str">
        <f t="shared" si="14"/>
        <v>42.1893700626867,25.2449840977794</v>
      </c>
      <c r="AB82" t="str">
        <f t="shared" si="15"/>
        <v>41.3795966354359,25.1257553791679</v>
      </c>
      <c r="AC82" t="str">
        <f t="shared" si="16"/>
        <v>45.2895386592931,23.4035650117181</v>
      </c>
    </row>
    <row r="83" spans="2:29" x14ac:dyDescent="0.2">
      <c r="B83" s="3">
        <v>81</v>
      </c>
      <c r="C83" s="6">
        <v>42</v>
      </c>
      <c r="D83" s="6">
        <v>24.447761194029798</v>
      </c>
      <c r="E83" s="8">
        <v>3.14159265358979</v>
      </c>
      <c r="F83" s="7"/>
      <c r="G83" s="10">
        <v>42.189370062686699</v>
      </c>
      <c r="H83" s="10">
        <v>26.185282605242101</v>
      </c>
      <c r="I83" s="10">
        <v>3.14159265358979</v>
      </c>
      <c r="K83" s="10">
        <v>41.362029161836404</v>
      </c>
      <c r="L83" s="10">
        <v>26.0658897669061</v>
      </c>
      <c r="M83" s="10">
        <v>3.1176014213390202</v>
      </c>
      <c r="N83" s="13"/>
      <c r="O83" s="10">
        <v>45.443256743620097</v>
      </c>
      <c r="P83" s="10">
        <v>24.331213670256201</v>
      </c>
      <c r="Q83" s="10">
        <v>2.9346150260620201</v>
      </c>
      <c r="R83" s="13"/>
      <c r="S83" s="20">
        <v>3.14159265358979</v>
      </c>
      <c r="T83" s="13"/>
      <c r="U83" s="13">
        <f t="shared" si="9"/>
        <v>0</v>
      </c>
      <c r="V83" s="13">
        <f t="shared" si="10"/>
        <v>0</v>
      </c>
      <c r="W83" s="13">
        <f t="shared" si="17"/>
        <v>-1.3745963532872576</v>
      </c>
      <c r="X83" s="13">
        <f t="shared" si="12"/>
        <v>-11.858944510971986</v>
      </c>
      <c r="Z83" t="str">
        <f t="shared" si="13"/>
        <v>42,24.4477611940298</v>
      </c>
      <c r="AA83" t="str">
        <f t="shared" si="14"/>
        <v>42.1893700626867,26.1852826052421</v>
      </c>
      <c r="AB83" t="str">
        <f t="shared" si="15"/>
        <v>41.3620291618364,26.0658897669061</v>
      </c>
      <c r="AC83" t="str">
        <f t="shared" si="16"/>
        <v>45.4432567436201,24.3312136702562</v>
      </c>
    </row>
    <row r="84" spans="2:29" x14ac:dyDescent="0.2">
      <c r="B84" s="3">
        <v>82</v>
      </c>
      <c r="C84" s="6">
        <v>42</v>
      </c>
      <c r="D84" s="6">
        <v>25.388059701492502</v>
      </c>
      <c r="E84" s="8">
        <v>3.14159265358979</v>
      </c>
      <c r="F84" s="7"/>
      <c r="G84" s="10">
        <v>42.189370062686699</v>
      </c>
      <c r="H84" s="10">
        <v>27.125581112704801</v>
      </c>
      <c r="I84" s="10">
        <v>3.1176014213390202</v>
      </c>
      <c r="K84" s="10">
        <v>41.384585917701997</v>
      </c>
      <c r="L84" s="10">
        <v>27.005917679205201</v>
      </c>
      <c r="M84" s="10">
        <v>3.1238132098382398</v>
      </c>
      <c r="N84" s="13"/>
      <c r="O84" s="10">
        <v>45.6364908876021</v>
      </c>
      <c r="P84" s="10">
        <v>25.251442907314001</v>
      </c>
      <c r="Q84" s="10">
        <v>2.9392983507926802</v>
      </c>
      <c r="R84" s="13"/>
      <c r="S84" s="20">
        <v>3.14159265358979</v>
      </c>
      <c r="T84" s="13"/>
      <c r="U84" s="13">
        <f t="shared" si="9"/>
        <v>0</v>
      </c>
      <c r="V84" s="13">
        <f t="shared" si="10"/>
        <v>-1.3745963532872576</v>
      </c>
      <c r="W84" s="13">
        <f t="shared" si="17"/>
        <v>-1.0186870890540674</v>
      </c>
      <c r="X84" s="13">
        <f t="shared" si="12"/>
        <v>-11.590609769815917</v>
      </c>
      <c r="Z84" t="str">
        <f t="shared" si="13"/>
        <v>42,25.3880597014925</v>
      </c>
      <c r="AA84" t="str">
        <f t="shared" si="14"/>
        <v>42.1893700626867,27.1255811127048</v>
      </c>
      <c r="AB84" t="str">
        <f t="shared" si="15"/>
        <v>41.384585917702,27.0059176792052</v>
      </c>
      <c r="AC84" t="str">
        <f t="shared" si="16"/>
        <v>45.6364908876021,25.251442907314</v>
      </c>
    </row>
    <row r="85" spans="2:29" x14ac:dyDescent="0.2">
      <c r="B85" s="3">
        <v>83</v>
      </c>
      <c r="C85" s="6">
        <v>42</v>
      </c>
      <c r="D85" s="6">
        <v>26.328358208955201</v>
      </c>
      <c r="E85" s="8">
        <v>3.14159265358979</v>
      </c>
      <c r="F85" s="7"/>
      <c r="G85" s="10">
        <v>42.2119268185523</v>
      </c>
      <c r="H85" s="10">
        <v>28.065609025003901</v>
      </c>
      <c r="I85" s="10">
        <v>3.1238132098382398</v>
      </c>
      <c r="K85" s="10">
        <v>41.401303021355801</v>
      </c>
      <c r="L85" s="10">
        <v>27.946067572350898</v>
      </c>
      <c r="M85" s="10">
        <v>-3.08024573423815</v>
      </c>
      <c r="N85" s="13"/>
      <c r="O85" s="10">
        <v>45.825413195845201</v>
      </c>
      <c r="P85" s="10">
        <v>26.172567027389402</v>
      </c>
      <c r="Q85" s="10">
        <v>3.0056491072342499</v>
      </c>
      <c r="R85" s="13"/>
      <c r="S85" s="20">
        <v>3.14159265358979</v>
      </c>
      <c r="T85" s="13"/>
      <c r="U85" s="13">
        <f t="shared" si="9"/>
        <v>0</v>
      </c>
      <c r="V85" s="13">
        <f t="shared" si="10"/>
        <v>-1.0186870890540674</v>
      </c>
      <c r="W85" s="13">
        <f>(M85-S85)*180/PI()+360</f>
        <v>3.5149195649786975</v>
      </c>
      <c r="X85" s="13">
        <f t="shared" si="12"/>
        <v>-7.7889914582135091</v>
      </c>
      <c r="Z85" t="str">
        <f t="shared" si="13"/>
        <v>42,26.3283582089552</v>
      </c>
      <c r="AA85" t="str">
        <f t="shared" si="14"/>
        <v>42.2119268185523,28.0656090250039</v>
      </c>
      <c r="AB85" t="str">
        <f t="shared" si="15"/>
        <v>41.4013030213558,27.9460675723509</v>
      </c>
      <c r="AC85" t="str">
        <f t="shared" si="16"/>
        <v>45.8254131958452,26.1725670273894</v>
      </c>
    </row>
    <row r="86" spans="2:29" x14ac:dyDescent="0.2">
      <c r="B86" s="3">
        <v>84</v>
      </c>
      <c r="C86" s="6">
        <v>42</v>
      </c>
      <c r="D86" s="6">
        <v>27.268656716417901</v>
      </c>
      <c r="E86" s="8">
        <v>3.14159265358979</v>
      </c>
      <c r="F86" s="7"/>
      <c r="G86" s="10">
        <v>42.228643922206203</v>
      </c>
      <c r="H86" s="10">
        <v>29.005758918149599</v>
      </c>
      <c r="I86" s="10">
        <v>3.14159265358979</v>
      </c>
      <c r="K86" s="10">
        <v>41.343654779861097</v>
      </c>
      <c r="L86" s="10">
        <v>28.884597254028101</v>
      </c>
      <c r="M86" s="10">
        <v>-3.10081437926083</v>
      </c>
      <c r="N86" s="13"/>
      <c r="O86" s="10">
        <v>45.952847350691599</v>
      </c>
      <c r="P86" s="10">
        <v>27.1041902448519</v>
      </c>
      <c r="Q86" s="10">
        <v>2.9911179511944099</v>
      </c>
      <c r="R86" s="13"/>
      <c r="S86" s="20">
        <v>3.14159265358979</v>
      </c>
      <c r="T86" s="13"/>
      <c r="U86" s="13">
        <f t="shared" si="9"/>
        <v>0</v>
      </c>
      <c r="V86" s="13">
        <f t="shared" si="10"/>
        <v>0</v>
      </c>
      <c r="W86" s="13">
        <f t="shared" ref="W86:W92" si="19">(M86-S86)*180/PI()+360</f>
        <v>2.3364230148764022</v>
      </c>
      <c r="X86" s="13">
        <f t="shared" si="12"/>
        <v>-8.6215653707423776</v>
      </c>
      <c r="Z86" t="str">
        <f t="shared" si="13"/>
        <v>42,27.2686567164179</v>
      </c>
      <c r="AA86" t="str">
        <f t="shared" si="14"/>
        <v>42.2286439222062,29.0057589181496</v>
      </c>
      <c r="AB86" t="str">
        <f t="shared" si="15"/>
        <v>41.3436547798611,28.8845972540281</v>
      </c>
      <c r="AC86" t="str">
        <f t="shared" si="16"/>
        <v>45.9528473506916,27.1041902448519</v>
      </c>
    </row>
    <row r="87" spans="2:29" x14ac:dyDescent="0.2">
      <c r="B87" s="3">
        <v>85</v>
      </c>
      <c r="C87" s="6">
        <v>42</v>
      </c>
      <c r="D87" s="6">
        <v>28.208955223880601</v>
      </c>
      <c r="E87" s="8">
        <v>3.14159265358979</v>
      </c>
      <c r="F87" s="7"/>
      <c r="G87" s="10">
        <v>42.228643922206203</v>
      </c>
      <c r="H87" s="10">
        <v>29.946057425612299</v>
      </c>
      <c r="I87" s="10">
        <v>3.14159265358979</v>
      </c>
      <c r="K87" s="10">
        <v>41.305321655252897</v>
      </c>
      <c r="L87" s="10">
        <v>29.824114073832</v>
      </c>
      <c r="M87" s="10">
        <v>-3.0448070016018098</v>
      </c>
      <c r="N87" s="13"/>
      <c r="O87" s="10">
        <v>46.093805137555997</v>
      </c>
      <c r="P87" s="10">
        <v>28.033863405408201</v>
      </c>
      <c r="Q87" s="10">
        <v>3.0392685681714302</v>
      </c>
      <c r="R87" s="13"/>
      <c r="S87" s="20">
        <v>3.14159265358979</v>
      </c>
      <c r="T87" s="13"/>
      <c r="U87" s="13">
        <f t="shared" si="9"/>
        <v>0</v>
      </c>
      <c r="V87" s="13">
        <f t="shared" si="10"/>
        <v>0</v>
      </c>
      <c r="W87" s="13">
        <f t="shared" si="19"/>
        <v>5.5454093763335663</v>
      </c>
      <c r="X87" s="13">
        <f t="shared" si="12"/>
        <v>-5.8627382370081449</v>
      </c>
      <c r="Z87" t="str">
        <f t="shared" si="13"/>
        <v>42,28.2089552238806</v>
      </c>
      <c r="AA87" t="str">
        <f t="shared" si="14"/>
        <v>42.2286439222062,29.9460574256123</v>
      </c>
      <c r="AB87" t="str">
        <f t="shared" si="15"/>
        <v>41.3053216552529,29.824114073832</v>
      </c>
      <c r="AC87" t="str">
        <f t="shared" si="16"/>
        <v>46.093805137556,28.0338634054082</v>
      </c>
    </row>
    <row r="88" spans="2:29" x14ac:dyDescent="0.2">
      <c r="B88" s="3">
        <v>86</v>
      </c>
      <c r="C88" s="6">
        <v>42</v>
      </c>
      <c r="D88" s="6">
        <v>29.1492537313433</v>
      </c>
      <c r="E88" s="8">
        <v>3.14159265358979</v>
      </c>
      <c r="F88" s="7"/>
      <c r="G88" s="10">
        <v>42.228643922206203</v>
      </c>
      <c r="H88" s="10">
        <v>30.886355933074999</v>
      </c>
      <c r="I88" s="10">
        <v>3.14159265358979</v>
      </c>
      <c r="K88" s="10">
        <v>41.214456269350798</v>
      </c>
      <c r="L88" s="10">
        <v>30.760011912691201</v>
      </c>
      <c r="M88" s="10">
        <v>-3.1166489405212201</v>
      </c>
      <c r="N88" s="13"/>
      <c r="O88" s="10">
        <v>46.189852511226803</v>
      </c>
      <c r="P88" s="10">
        <v>28.969243641006301</v>
      </c>
      <c r="Q88" s="10">
        <v>2.9815204035901699</v>
      </c>
      <c r="R88" s="13"/>
      <c r="S88" s="20">
        <v>3.14159265358979</v>
      </c>
      <c r="T88" s="13"/>
      <c r="U88" s="13">
        <f t="shared" si="9"/>
        <v>0</v>
      </c>
      <c r="V88" s="13">
        <f t="shared" si="10"/>
        <v>0</v>
      </c>
      <c r="W88" s="13">
        <f t="shared" si="19"/>
        <v>1.4291694842147535</v>
      </c>
      <c r="X88" s="13">
        <f t="shared" si="12"/>
        <v>-9.1714643421412259</v>
      </c>
      <c r="Z88" t="str">
        <f t="shared" si="13"/>
        <v>42,29.1492537313433</v>
      </c>
      <c r="AA88" t="str">
        <f t="shared" si="14"/>
        <v>42.2286439222062,30.886355933075</v>
      </c>
      <c r="AB88" t="str">
        <f t="shared" si="15"/>
        <v>41.2144562693508,30.7600119126912</v>
      </c>
      <c r="AC88" t="str">
        <f t="shared" si="16"/>
        <v>46.1898525112268,28.9692436410063</v>
      </c>
    </row>
    <row r="89" spans="2:29" x14ac:dyDescent="0.2">
      <c r="B89" s="3">
        <v>87</v>
      </c>
      <c r="C89" s="6">
        <v>42</v>
      </c>
      <c r="D89" s="6">
        <v>30.089552238806</v>
      </c>
      <c r="E89" s="8">
        <v>3.14159265358979</v>
      </c>
      <c r="F89" s="7"/>
      <c r="G89" s="10">
        <v>42.228643922206203</v>
      </c>
      <c r="H89" s="10">
        <v>31.826654440537698</v>
      </c>
      <c r="I89" s="10">
        <v>3.14159265358979</v>
      </c>
      <c r="K89" s="10">
        <v>41.191004165297898</v>
      </c>
      <c r="L89" s="10">
        <v>31.700017913710401</v>
      </c>
      <c r="M89" s="10">
        <v>-3.1382242723445102</v>
      </c>
      <c r="N89" s="13"/>
      <c r="O89" s="10">
        <v>46.3397262515591</v>
      </c>
      <c r="P89" s="10">
        <v>29.897521156136001</v>
      </c>
      <c r="Q89" s="10">
        <v>2.9523047361013601</v>
      </c>
      <c r="R89" s="13"/>
      <c r="S89" s="20">
        <v>3.14159265358979</v>
      </c>
      <c r="T89" s="13"/>
      <c r="U89" s="13">
        <f t="shared" si="9"/>
        <v>0</v>
      </c>
      <c r="V89" s="13">
        <f t="shared" si="10"/>
        <v>0</v>
      </c>
      <c r="W89" s="13">
        <f t="shared" si="19"/>
        <v>0.19299402914595021</v>
      </c>
      <c r="X89" s="13">
        <f t="shared" si="12"/>
        <v>-10.845398784907598</v>
      </c>
      <c r="Z89" t="str">
        <f t="shared" si="13"/>
        <v>42,30.089552238806</v>
      </c>
      <c r="AA89" t="str">
        <f t="shared" si="14"/>
        <v>42.2286439222062,31.8266544405377</v>
      </c>
      <c r="AB89" t="str">
        <f t="shared" si="15"/>
        <v>41.1910041652979,31.7000179137104</v>
      </c>
      <c r="AC89" t="str">
        <f t="shared" si="16"/>
        <v>46.3397262515591,29.897521156136</v>
      </c>
    </row>
    <row r="90" spans="2:29" x14ac:dyDescent="0.2">
      <c r="B90" s="3">
        <v>88</v>
      </c>
      <c r="C90" s="6">
        <v>42</v>
      </c>
      <c r="D90" s="6">
        <v>31.0298507462686</v>
      </c>
      <c r="E90" s="8">
        <v>3.14159265358979</v>
      </c>
      <c r="F90" s="7"/>
      <c r="G90" s="10">
        <v>42.228643922206203</v>
      </c>
      <c r="H90" s="10">
        <v>32.766952948000402</v>
      </c>
      <c r="I90" s="10">
        <v>3.14159265358979</v>
      </c>
      <c r="K90" s="10">
        <v>41.187836887429697</v>
      </c>
      <c r="L90" s="10">
        <v>32.640311086868401</v>
      </c>
      <c r="M90" s="10">
        <v>-3.1037799927471599</v>
      </c>
      <c r="N90" s="13"/>
      <c r="O90" s="10">
        <v>46.516652422962899</v>
      </c>
      <c r="P90" s="10">
        <v>30.821024492897099</v>
      </c>
      <c r="Q90" s="10">
        <v>2.9829387225559199</v>
      </c>
      <c r="R90" s="13"/>
      <c r="S90" s="20">
        <v>3.14159265358979</v>
      </c>
      <c r="T90" s="13"/>
      <c r="U90" s="13">
        <f t="shared" si="9"/>
        <v>0</v>
      </c>
      <c r="V90" s="13">
        <f t="shared" si="10"/>
        <v>0</v>
      </c>
      <c r="W90" s="13">
        <f t="shared" si="19"/>
        <v>2.1665058784426492</v>
      </c>
      <c r="X90" s="13">
        <f t="shared" si="12"/>
        <v>-9.0902006514003926</v>
      </c>
      <c r="Z90" t="str">
        <f t="shared" si="13"/>
        <v>42,31.0298507462686</v>
      </c>
      <c r="AA90" t="str">
        <f t="shared" si="14"/>
        <v>42.2286439222062,32.7669529480004</v>
      </c>
      <c r="AB90" t="str">
        <f t="shared" si="15"/>
        <v>41.1878368874297,32.6403110868684</v>
      </c>
      <c r="AC90" t="str">
        <f t="shared" si="16"/>
        <v>46.5166524229629,30.8210244928971</v>
      </c>
    </row>
    <row r="91" spans="2:29" x14ac:dyDescent="0.2">
      <c r="B91" s="3">
        <v>89</v>
      </c>
      <c r="C91" s="6">
        <v>42</v>
      </c>
      <c r="D91" s="6">
        <v>31.9701492537313</v>
      </c>
      <c r="E91" s="8">
        <v>3.14159265358979</v>
      </c>
      <c r="F91" s="7"/>
      <c r="G91" s="10">
        <v>42.228643922206203</v>
      </c>
      <c r="H91" s="10">
        <v>33.707251455463101</v>
      </c>
      <c r="I91" s="10">
        <v>3.14159265358979</v>
      </c>
      <c r="K91" s="10">
        <v>41.152290171056002</v>
      </c>
      <c r="L91" s="10">
        <v>33.579937456278898</v>
      </c>
      <c r="M91" s="10">
        <v>-3.1306752675699401</v>
      </c>
      <c r="N91" s="13"/>
      <c r="O91" s="10">
        <v>46.665209419386201</v>
      </c>
      <c r="P91" s="10">
        <v>31.749513643049301</v>
      </c>
      <c r="Q91" s="10">
        <v>2.9533585924310302</v>
      </c>
      <c r="R91" s="13"/>
      <c r="S91" s="20">
        <v>3.14159265358979</v>
      </c>
      <c r="T91" s="13"/>
      <c r="U91" s="13">
        <f t="shared" si="9"/>
        <v>0</v>
      </c>
      <c r="V91" s="13">
        <f t="shared" si="10"/>
        <v>0</v>
      </c>
      <c r="W91" s="13">
        <f t="shared" si="19"/>
        <v>0.62552014225292396</v>
      </c>
      <c r="X91" s="13">
        <f t="shared" si="12"/>
        <v>-10.785017265004356</v>
      </c>
      <c r="Z91" t="str">
        <f t="shared" si="13"/>
        <v>42,31.9701492537313</v>
      </c>
      <c r="AA91" t="str">
        <f t="shared" si="14"/>
        <v>42.2286439222062,33.7072514554631</v>
      </c>
      <c r="AB91" t="str">
        <f t="shared" si="15"/>
        <v>41.152290171056,33.5799374562789</v>
      </c>
      <c r="AC91" t="str">
        <f t="shared" si="16"/>
        <v>46.6652094193862,31.7495136430493</v>
      </c>
    </row>
    <row r="92" spans="2:29" x14ac:dyDescent="0.2">
      <c r="B92" s="3">
        <v>90</v>
      </c>
      <c r="C92" s="6">
        <v>42</v>
      </c>
      <c r="D92" s="6">
        <v>32.910447761194</v>
      </c>
      <c r="E92" s="8">
        <v>3.14159265358979</v>
      </c>
      <c r="F92" s="7"/>
      <c r="G92" s="10">
        <v>42.228643922206203</v>
      </c>
      <c r="H92" s="10">
        <v>34.647549962925801</v>
      </c>
      <c r="I92" s="10">
        <v>3.14159265358979</v>
      </c>
      <c r="K92" s="10">
        <v>41.142024773199999</v>
      </c>
      <c r="L92" s="10">
        <v>34.520179927529497</v>
      </c>
      <c r="M92" s="10">
        <v>-3.08394726358175</v>
      </c>
      <c r="N92" s="13"/>
      <c r="O92" s="10">
        <v>46.841162252884899</v>
      </c>
      <c r="P92" s="10">
        <v>32.6732029217141</v>
      </c>
      <c r="Q92" s="10">
        <v>3.00871113266163</v>
      </c>
      <c r="R92" s="13"/>
      <c r="S92" s="20">
        <v>3.14159265358979</v>
      </c>
      <c r="T92" s="13"/>
      <c r="U92" s="13">
        <f t="shared" si="9"/>
        <v>0</v>
      </c>
      <c r="V92" s="13">
        <f t="shared" si="10"/>
        <v>0</v>
      </c>
      <c r="W92" s="13">
        <f t="shared" si="19"/>
        <v>3.3028375558466223</v>
      </c>
      <c r="X92" s="13">
        <f t="shared" si="12"/>
        <v>-7.6135503244628886</v>
      </c>
      <c r="Z92" t="str">
        <f t="shared" si="13"/>
        <v>42,32.910447761194</v>
      </c>
      <c r="AA92" t="str">
        <f t="shared" si="14"/>
        <v>42.2286439222062,34.6475499629258</v>
      </c>
      <c r="AB92" t="str">
        <f t="shared" si="15"/>
        <v>41.1420247732,34.5201799275295</v>
      </c>
      <c r="AC92" t="str">
        <f t="shared" si="16"/>
        <v>46.8411622528849,32.6732029217141</v>
      </c>
    </row>
    <row r="93" spans="2:29" x14ac:dyDescent="0.2">
      <c r="B93" s="3">
        <v>91</v>
      </c>
      <c r="C93" s="6">
        <v>42</v>
      </c>
      <c r="D93" s="6">
        <v>33.8507462686567</v>
      </c>
      <c r="E93" s="8">
        <v>3.14159265358979</v>
      </c>
      <c r="F93" s="7"/>
      <c r="G93" s="10">
        <v>42.228643922206203</v>
      </c>
      <c r="H93" s="10">
        <v>35.587848470388401</v>
      </c>
      <c r="I93" s="10">
        <v>3.14159265358979</v>
      </c>
      <c r="K93" s="10">
        <v>41.087850913856798</v>
      </c>
      <c r="L93" s="10">
        <v>35.458916565836702</v>
      </c>
      <c r="M93" s="10">
        <v>3.1358169939604901</v>
      </c>
      <c r="N93" s="13"/>
      <c r="O93" s="10">
        <v>46.965743160797601</v>
      </c>
      <c r="P93" s="10">
        <v>33.605211977743203</v>
      </c>
      <c r="Q93" s="10">
        <v>2.9641589105916699</v>
      </c>
      <c r="R93" s="13"/>
      <c r="S93" s="20">
        <v>3.14159265358979</v>
      </c>
      <c r="T93" s="13"/>
      <c r="U93" s="13">
        <f t="shared" si="9"/>
        <v>0</v>
      </c>
      <c r="V93" s="13">
        <f t="shared" si="10"/>
        <v>0</v>
      </c>
      <c r="W93" s="13">
        <f t="shared" si="17"/>
        <v>-0.33092092066297979</v>
      </c>
      <c r="X93" s="13">
        <f t="shared" si="12"/>
        <v>-10.166204617001204</v>
      </c>
      <c r="Z93" t="str">
        <f t="shared" si="13"/>
        <v>42,33.8507462686567</v>
      </c>
      <c r="AA93" t="str">
        <f t="shared" si="14"/>
        <v>42.2286439222062,35.5878484703884</v>
      </c>
      <c r="AB93" t="str">
        <f t="shared" si="15"/>
        <v>41.0878509138568,35.4589165658367</v>
      </c>
      <c r="AC93" t="str">
        <f t="shared" si="16"/>
        <v>46.9657431607976,33.6052119777432</v>
      </c>
    </row>
    <row r="94" spans="2:29" x14ac:dyDescent="0.2">
      <c r="B94" s="3">
        <v>92</v>
      </c>
      <c r="C94" s="6">
        <v>42</v>
      </c>
      <c r="D94" s="6">
        <v>34.791044776119399</v>
      </c>
      <c r="E94" s="8">
        <v>3.14159265358979</v>
      </c>
      <c r="F94" s="7"/>
      <c r="G94" s="10">
        <v>42.228643922206203</v>
      </c>
      <c r="H94" s="10">
        <v>36.528146977851101</v>
      </c>
      <c r="I94" s="10">
        <v>3.1358169939604901</v>
      </c>
      <c r="K94" s="10">
        <v>41.093281727791997</v>
      </c>
      <c r="L94" s="10">
        <v>36.399199389989398</v>
      </c>
      <c r="M94" s="10">
        <v>-3.1266847253625998</v>
      </c>
      <c r="N94" s="13"/>
      <c r="O94" s="10">
        <v>47.131709788077501</v>
      </c>
      <c r="P94" s="10">
        <v>34.530747693837299</v>
      </c>
      <c r="Q94" s="10">
        <v>2.9583880672415002</v>
      </c>
      <c r="R94" s="13"/>
      <c r="S94" s="20">
        <v>3.14159265358979</v>
      </c>
      <c r="T94" s="13"/>
      <c r="U94" s="13">
        <f t="shared" si="9"/>
        <v>0</v>
      </c>
      <c r="V94" s="13">
        <f t="shared" si="10"/>
        <v>-0.33092092066297979</v>
      </c>
      <c r="W94" s="13">
        <f>(M94-S94)*180/PI()+360</f>
        <v>0.8541613687023073</v>
      </c>
      <c r="X94" s="13">
        <f t="shared" si="12"/>
        <v>-10.496849585197065</v>
      </c>
      <c r="Z94" t="str">
        <f t="shared" si="13"/>
        <v>42,34.7910447761194</v>
      </c>
      <c r="AA94" t="str">
        <f t="shared" si="14"/>
        <v>42.2286439222062,36.5281469778511</v>
      </c>
      <c r="AB94" t="str">
        <f t="shared" si="15"/>
        <v>41.093281727792,36.3991993899894</v>
      </c>
      <c r="AC94" t="str">
        <f t="shared" si="16"/>
        <v>47.1317097880775,34.5307476938373</v>
      </c>
    </row>
    <row r="95" spans="2:29" x14ac:dyDescent="0.2">
      <c r="B95" s="3">
        <v>93</v>
      </c>
      <c r="C95" s="6">
        <v>42</v>
      </c>
      <c r="D95" s="6">
        <v>35.731343283582099</v>
      </c>
      <c r="E95" s="8">
        <v>3.14159265358979</v>
      </c>
      <c r="F95" s="7"/>
      <c r="G95" s="10">
        <v>42.234074736141402</v>
      </c>
      <c r="H95" s="10">
        <v>37.468429802003797</v>
      </c>
      <c r="I95" s="10">
        <v>3.14159265358979</v>
      </c>
      <c r="K95" s="10">
        <v>41.079264344362798</v>
      </c>
      <c r="L95" s="10">
        <v>37.339393410443897</v>
      </c>
      <c r="M95" s="10">
        <v>3.1207078289672401</v>
      </c>
      <c r="N95" s="13"/>
      <c r="O95" s="10">
        <v>47.303014743789298</v>
      </c>
      <c r="P95" s="10">
        <v>35.455310236494697</v>
      </c>
      <c r="Q95" s="10">
        <v>2.9202135156728302</v>
      </c>
      <c r="R95" s="13"/>
      <c r="S95" s="20">
        <v>3.14159265358979</v>
      </c>
      <c r="T95" s="13"/>
      <c r="U95" s="13">
        <f t="shared" si="9"/>
        <v>0</v>
      </c>
      <c r="V95" s="13">
        <f t="shared" si="10"/>
        <v>0</v>
      </c>
      <c r="W95" s="13">
        <f t="shared" si="17"/>
        <v>-1.1966123067430132</v>
      </c>
      <c r="X95" s="13">
        <f t="shared" si="12"/>
        <v>-12.684090274886374</v>
      </c>
      <c r="Z95" t="str">
        <f t="shared" si="13"/>
        <v>42,35.7313432835821</v>
      </c>
      <c r="AA95" t="str">
        <f t="shared" si="14"/>
        <v>42.2340747361414,37.4684298020038</v>
      </c>
      <c r="AB95" t="str">
        <f t="shared" si="15"/>
        <v>41.0792643443628,37.3393934104439</v>
      </c>
      <c r="AC95" t="str">
        <f t="shared" si="16"/>
        <v>47.3030147437893,35.4553102364947</v>
      </c>
    </row>
    <row r="96" spans="2:29" x14ac:dyDescent="0.2">
      <c r="B96" s="3">
        <v>94</v>
      </c>
      <c r="C96" s="6">
        <v>42</v>
      </c>
      <c r="D96" s="6">
        <v>36.671641791044799</v>
      </c>
      <c r="E96" s="8">
        <v>3.14159265358979</v>
      </c>
      <c r="F96" s="7"/>
      <c r="G96" s="10">
        <v>42.234074736141402</v>
      </c>
      <c r="H96" s="10">
        <v>38.408728309466497</v>
      </c>
      <c r="I96" s="10">
        <v>3.1207078289672401</v>
      </c>
      <c r="K96" s="10">
        <v>41.098900886213599</v>
      </c>
      <c r="L96" s="10">
        <v>38.279486857586598</v>
      </c>
      <c r="M96" s="10">
        <v>3.1104585296362601</v>
      </c>
      <c r="N96" s="13"/>
      <c r="O96" s="10">
        <v>47.509481082212098</v>
      </c>
      <c r="P96" s="10">
        <v>36.3726612784818</v>
      </c>
      <c r="Q96" s="10">
        <v>2.9282168075612902</v>
      </c>
      <c r="R96" s="13"/>
      <c r="S96" s="20">
        <v>3.14159265358979</v>
      </c>
      <c r="T96" s="13"/>
      <c r="U96" s="13">
        <f t="shared" si="9"/>
        <v>0</v>
      </c>
      <c r="V96" s="13">
        <f t="shared" si="10"/>
        <v>-1.1966123067430132</v>
      </c>
      <c r="W96" s="13">
        <f t="shared" si="17"/>
        <v>-1.783853901374423</v>
      </c>
      <c r="X96" s="13">
        <f t="shared" si="12"/>
        <v>-12.225535427466326</v>
      </c>
      <c r="Z96" t="str">
        <f t="shared" si="13"/>
        <v>42,36.6716417910448</v>
      </c>
      <c r="AA96" t="str">
        <f t="shared" si="14"/>
        <v>42.2340747361414,38.4087283094665</v>
      </c>
      <c r="AB96" t="str">
        <f t="shared" si="15"/>
        <v>41.0989008862136,38.2794868575866</v>
      </c>
      <c r="AC96" t="str">
        <f t="shared" si="16"/>
        <v>47.5094810822121,36.3726612784818</v>
      </c>
    </row>
    <row r="97" spans="2:29" x14ac:dyDescent="0.2">
      <c r="B97" s="3">
        <v>95</v>
      </c>
      <c r="C97" s="6">
        <v>42</v>
      </c>
      <c r="D97" s="6">
        <v>37.611940298507399</v>
      </c>
      <c r="E97" s="8">
        <v>3.14159265358979</v>
      </c>
      <c r="F97" s="7"/>
      <c r="G97" s="10">
        <v>42.253711277992203</v>
      </c>
      <c r="H97" s="10">
        <v>39.348821756609198</v>
      </c>
      <c r="I97" s="10">
        <v>3.1104585296362601</v>
      </c>
      <c r="K97" s="10">
        <v>41.128171527127101</v>
      </c>
      <c r="L97" s="10">
        <v>39.219329670357503</v>
      </c>
      <c r="M97" s="10">
        <v>3.13181337500153</v>
      </c>
      <c r="N97" s="13"/>
      <c r="O97" s="10">
        <v>47.708599058532897</v>
      </c>
      <c r="P97" s="10">
        <v>37.291635333960301</v>
      </c>
      <c r="Q97" s="10">
        <v>2.9331114664081599</v>
      </c>
      <c r="R97" s="13"/>
      <c r="S97" s="20">
        <v>3.14159265358979</v>
      </c>
      <c r="T97" s="13"/>
      <c r="U97" s="13">
        <f t="shared" si="9"/>
        <v>0</v>
      </c>
      <c r="V97" s="13">
        <f t="shared" si="10"/>
        <v>-1.783853901374423</v>
      </c>
      <c r="W97" s="13">
        <f t="shared" si="17"/>
        <v>-0.56031138978995187</v>
      </c>
      <c r="X97" s="13">
        <f t="shared" si="12"/>
        <v>-11.945092133384323</v>
      </c>
      <c r="Z97" t="str">
        <f t="shared" si="13"/>
        <v>42,37.6119402985074</v>
      </c>
      <c r="AA97" t="str">
        <f t="shared" si="14"/>
        <v>42.2537112779922,39.3488217566092</v>
      </c>
      <c r="AB97" t="str">
        <f t="shared" si="15"/>
        <v>41.1281715271271,39.2193296703575</v>
      </c>
      <c r="AC97" t="str">
        <f t="shared" si="16"/>
        <v>47.7085990585329,37.2916353339603</v>
      </c>
    </row>
    <row r="98" spans="2:29" x14ac:dyDescent="0.2">
      <c r="B98" s="3">
        <v>96</v>
      </c>
      <c r="C98" s="6">
        <v>42</v>
      </c>
      <c r="D98" s="6">
        <v>38.552238805970099</v>
      </c>
      <c r="E98" s="8">
        <v>3.14159265358979</v>
      </c>
      <c r="F98" s="7"/>
      <c r="G98" s="10">
        <v>42.282981918905698</v>
      </c>
      <c r="H98" s="10">
        <v>40.288664569380103</v>
      </c>
      <c r="I98" s="10">
        <v>3.13181337500153</v>
      </c>
      <c r="K98" s="10">
        <v>41.137366821621903</v>
      </c>
      <c r="L98" s="10">
        <v>40.159583215788601</v>
      </c>
      <c r="M98" s="10">
        <v>-3.1399478340853699</v>
      </c>
      <c r="N98" s="13"/>
      <c r="O98" s="10">
        <v>47.903216603125301</v>
      </c>
      <c r="P98" s="10">
        <v>38.211572991887898</v>
      </c>
      <c r="Q98" s="10">
        <v>2.9568832594914798</v>
      </c>
      <c r="R98" s="13"/>
      <c r="S98" s="20">
        <v>3.14159265358979</v>
      </c>
      <c r="T98" s="13"/>
      <c r="U98" s="13">
        <f t="shared" si="9"/>
        <v>0</v>
      </c>
      <c r="V98" s="13">
        <f t="shared" si="10"/>
        <v>-0.56031138978995187</v>
      </c>
      <c r="W98" s="13">
        <f>(M98-S98)*180/PI()+360</f>
        <v>9.4241215664453648E-2</v>
      </c>
      <c r="X98" s="13">
        <f t="shared" si="12"/>
        <v>-10.583068718251811</v>
      </c>
      <c r="Z98" t="str">
        <f t="shared" si="13"/>
        <v>42,38.5522388059701</v>
      </c>
      <c r="AA98" t="str">
        <f t="shared" si="14"/>
        <v>42.2829819189057,40.2886645693801</v>
      </c>
      <c r="AB98" t="str">
        <f t="shared" si="15"/>
        <v>41.1373668216219,40.1595832157886</v>
      </c>
      <c r="AC98" t="str">
        <f t="shared" si="16"/>
        <v>47.9032166031253,38.2115729918879</v>
      </c>
    </row>
    <row r="99" spans="2:29" x14ac:dyDescent="0.2">
      <c r="B99" s="3">
        <v>97</v>
      </c>
      <c r="C99" s="6">
        <v>42</v>
      </c>
      <c r="D99" s="6">
        <v>39.492537313432798</v>
      </c>
      <c r="E99" s="8">
        <v>3.14159265358979</v>
      </c>
      <c r="F99" s="7"/>
      <c r="G99" s="10">
        <v>42.2921772134005</v>
      </c>
      <c r="H99" s="10">
        <v>41.228918114811201</v>
      </c>
      <c r="I99" s="10">
        <v>3.14159265358979</v>
      </c>
      <c r="K99" s="10">
        <v>41.135820200994203</v>
      </c>
      <c r="L99" s="10">
        <v>41.0998804512951</v>
      </c>
      <c r="M99" s="10">
        <v>3.1184827668668702</v>
      </c>
      <c r="N99" s="13"/>
      <c r="O99" s="10">
        <v>48.075912653236102</v>
      </c>
      <c r="P99" s="10">
        <v>39.135876706806698</v>
      </c>
      <c r="Q99" s="10">
        <v>2.9290177878227301</v>
      </c>
      <c r="R99" s="13"/>
      <c r="S99" s="20">
        <v>3.14159265358979</v>
      </c>
      <c r="T99" s="13"/>
      <c r="U99" s="13">
        <f t="shared" si="9"/>
        <v>0</v>
      </c>
      <c r="V99" s="13">
        <f t="shared" si="10"/>
        <v>0</v>
      </c>
      <c r="W99" s="13">
        <f t="shared" si="17"/>
        <v>-1.3240989742487217</v>
      </c>
      <c r="X99" s="13">
        <f t="shared" si="12"/>
        <v>-12.179642639012533</v>
      </c>
      <c r="Z99" t="str">
        <f t="shared" si="13"/>
        <v>42,39.4925373134328</v>
      </c>
      <c r="AA99" t="str">
        <f t="shared" si="14"/>
        <v>42.2921772134005,41.2289181148112</v>
      </c>
      <c r="AB99" t="str">
        <f t="shared" si="15"/>
        <v>41.1358202009942,41.0998804512951</v>
      </c>
      <c r="AC99" t="str">
        <f t="shared" si="16"/>
        <v>48.0759126532361,39.1358767068067</v>
      </c>
    </row>
    <row r="100" spans="2:29" x14ac:dyDescent="0.2">
      <c r="B100" s="3">
        <v>98</v>
      </c>
      <c r="C100" s="6">
        <v>42</v>
      </c>
      <c r="D100" s="6">
        <v>40.432835820895498</v>
      </c>
      <c r="E100" s="8">
        <v>3.14159265358979</v>
      </c>
      <c r="F100" s="7"/>
      <c r="G100" s="10">
        <v>42.2921772134005</v>
      </c>
      <c r="H100" s="10">
        <v>42.1692166222739</v>
      </c>
      <c r="I100" s="10">
        <v>3.1184827668668702</v>
      </c>
      <c r="K100" s="10">
        <v>41.157548458809799</v>
      </c>
      <c r="L100" s="10">
        <v>42.039927878794799</v>
      </c>
      <c r="M100" s="10">
        <v>3.1403014601284802</v>
      </c>
      <c r="N100" s="13"/>
      <c r="O100" s="10">
        <v>48.274294485682397</v>
      </c>
      <c r="P100" s="10">
        <v>40.055009957044</v>
      </c>
      <c r="Q100" s="10">
        <v>2.93690367012355</v>
      </c>
      <c r="R100" s="13"/>
      <c r="S100" s="20">
        <v>3.14159265358979</v>
      </c>
      <c r="T100" s="13"/>
      <c r="U100" s="13">
        <f t="shared" si="9"/>
        <v>0</v>
      </c>
      <c r="V100" s="13">
        <f t="shared" si="10"/>
        <v>-1.3240989742487217</v>
      </c>
      <c r="W100" s="13">
        <f t="shared" si="17"/>
        <v>-7.3979935867939425E-2</v>
      </c>
      <c r="X100" s="13">
        <f t="shared" si="12"/>
        <v>-11.72781486543864</v>
      </c>
      <c r="Z100" t="str">
        <f t="shared" si="13"/>
        <v>42,40.4328358208955</v>
      </c>
      <c r="AA100" t="str">
        <f t="shared" si="14"/>
        <v>42.2921772134005,42.1692166222739</v>
      </c>
      <c r="AB100" t="str">
        <f t="shared" si="15"/>
        <v>41.1575484588098,42.0399278787948</v>
      </c>
      <c r="AC100" t="str">
        <f t="shared" si="16"/>
        <v>48.2742944856824,40.055009957044</v>
      </c>
    </row>
    <row r="101" spans="2:29" x14ac:dyDescent="0.2">
      <c r="B101" s="3">
        <v>99</v>
      </c>
      <c r="C101" s="6">
        <v>42</v>
      </c>
      <c r="D101" s="6">
        <v>41.373134328358198</v>
      </c>
      <c r="E101" s="8">
        <v>3.14159265358979</v>
      </c>
      <c r="F101" s="7"/>
      <c r="G101" s="10">
        <v>42.313905471216003</v>
      </c>
      <c r="H101" s="10">
        <v>43.1092640497736</v>
      </c>
      <c r="I101" s="10">
        <v>3.1403014601284802</v>
      </c>
      <c r="K101" s="10">
        <v>41.158762565756902</v>
      </c>
      <c r="L101" s="10">
        <v>42.980225602433897</v>
      </c>
      <c r="M101" s="10">
        <v>3.11755345438455</v>
      </c>
      <c r="N101" s="13"/>
      <c r="O101" s="10">
        <v>48.465422048254702</v>
      </c>
      <c r="P101" s="10">
        <v>40.975679027862398</v>
      </c>
      <c r="Q101" s="10">
        <v>2.91191816664751</v>
      </c>
      <c r="R101" s="13"/>
      <c r="S101" s="20">
        <v>3.14159265358979</v>
      </c>
      <c r="T101" s="13"/>
      <c r="U101" s="13">
        <f t="shared" si="9"/>
        <v>0</v>
      </c>
      <c r="V101" s="13">
        <f t="shared" si="10"/>
        <v>-7.3979935867939425E-2</v>
      </c>
      <c r="W101" s="13">
        <f t="shared" si="17"/>
        <v>-1.377344657334495</v>
      </c>
      <c r="X101" s="13">
        <f t="shared" si="12"/>
        <v>-13.159378763625179</v>
      </c>
      <c r="Z101" t="str">
        <f t="shared" si="13"/>
        <v>42,41.3731343283582</v>
      </c>
      <c r="AA101" t="str">
        <f t="shared" si="14"/>
        <v>42.313905471216,43.1092640497736</v>
      </c>
      <c r="AB101" t="str">
        <f t="shared" si="15"/>
        <v>41.1587625657569,42.9802256024339</v>
      </c>
      <c r="AC101" t="str">
        <f t="shared" si="16"/>
        <v>48.4654220482547,40.9756790278624</v>
      </c>
    </row>
    <row r="102" spans="2:29" x14ac:dyDescent="0.2">
      <c r="B102" s="3">
        <v>100</v>
      </c>
      <c r="C102" s="6">
        <v>42</v>
      </c>
      <c r="D102" s="6">
        <v>42.313432835820898</v>
      </c>
      <c r="E102" s="8">
        <v>3.14159265358979</v>
      </c>
      <c r="F102" s="7"/>
      <c r="G102" s="10">
        <v>42.315119578163198</v>
      </c>
      <c r="H102" s="10">
        <v>44.049561773412698</v>
      </c>
      <c r="I102" s="10">
        <v>3.11755345438455</v>
      </c>
      <c r="K102" s="10">
        <v>41.1813644118726</v>
      </c>
      <c r="L102" s="10">
        <v>43.920252431672701</v>
      </c>
      <c r="M102" s="10">
        <v>-3.1040692997569201</v>
      </c>
      <c r="N102" s="13"/>
      <c r="O102" s="10">
        <v>48.679490942751002</v>
      </c>
      <c r="P102" s="10">
        <v>41.891285816580002</v>
      </c>
      <c r="Q102" s="10">
        <v>2.9616362588299698</v>
      </c>
      <c r="R102" s="13"/>
      <c r="S102" s="20">
        <v>3.14159265358979</v>
      </c>
      <c r="T102" s="13"/>
      <c r="U102" s="13">
        <f t="shared" si="9"/>
        <v>0</v>
      </c>
      <c r="V102" s="13">
        <f t="shared" si="10"/>
        <v>-1.377344657334495</v>
      </c>
      <c r="W102" s="13">
        <f>(M102-S102)*180/PI()+360</f>
        <v>2.1499298077998219</v>
      </c>
      <c r="X102" s="13">
        <f t="shared" si="12"/>
        <v>-10.31074191612786</v>
      </c>
      <c r="Z102" t="str">
        <f t="shared" si="13"/>
        <v>42,42.3134328358209</v>
      </c>
      <c r="AA102" t="str">
        <f t="shared" si="14"/>
        <v>42.3151195781632,44.0495617734127</v>
      </c>
      <c r="AB102" t="str">
        <f t="shared" si="15"/>
        <v>41.1813644118726,43.9202524316727</v>
      </c>
      <c r="AC102" t="str">
        <f t="shared" si="16"/>
        <v>48.679490942751,41.89128581658</v>
      </c>
    </row>
    <row r="103" spans="2:29" x14ac:dyDescent="0.2">
      <c r="B103" s="3">
        <v>101</v>
      </c>
      <c r="C103" s="6">
        <v>42</v>
      </c>
      <c r="D103" s="6">
        <v>43.253731343283597</v>
      </c>
      <c r="E103" s="8">
        <v>3.14159265358979</v>
      </c>
      <c r="F103" s="7"/>
      <c r="G103" s="10">
        <v>42.337721424278897</v>
      </c>
      <c r="H103" s="10">
        <v>44.989588602651502</v>
      </c>
      <c r="I103" s="10">
        <v>3.14159265358979</v>
      </c>
      <c r="K103" s="10">
        <v>41.146089537477998</v>
      </c>
      <c r="L103" s="10">
        <v>44.859889045674599</v>
      </c>
      <c r="M103" s="10">
        <v>-3.1308224957850102</v>
      </c>
      <c r="N103" s="13"/>
      <c r="O103" s="10">
        <v>48.847791843772598</v>
      </c>
      <c r="P103" s="10">
        <v>42.816399912165998</v>
      </c>
      <c r="Q103" s="10">
        <v>2.9712038541416899</v>
      </c>
      <c r="R103" s="13"/>
      <c r="S103" s="20">
        <v>3.14159265358979</v>
      </c>
      <c r="T103" s="13"/>
      <c r="U103" s="13">
        <f t="shared" si="9"/>
        <v>0</v>
      </c>
      <c r="V103" s="13">
        <f t="shared" si="10"/>
        <v>0</v>
      </c>
      <c r="W103" s="13">
        <f t="shared" ref="W103:W104" si="20">(M103-S103)*180/PI()+360</f>
        <v>0.61708458690412726</v>
      </c>
      <c r="X103" s="13">
        <f t="shared" si="12"/>
        <v>-9.7625590846771484</v>
      </c>
      <c r="Z103" t="str">
        <f t="shared" si="13"/>
        <v>42,43.2537313432836</v>
      </c>
      <c r="AA103" t="str">
        <f t="shared" si="14"/>
        <v>42.3377214242789,44.9895886026515</v>
      </c>
      <c r="AB103" t="str">
        <f t="shared" si="15"/>
        <v>41.146089537478,44.8598890456746</v>
      </c>
      <c r="AC103" t="str">
        <f t="shared" si="16"/>
        <v>48.8477918437726,42.816399912166</v>
      </c>
    </row>
    <row r="104" spans="2:29" x14ac:dyDescent="0.2">
      <c r="B104" s="3">
        <v>102</v>
      </c>
      <c r="C104" s="6">
        <v>42</v>
      </c>
      <c r="D104" s="6">
        <v>44.194029850746197</v>
      </c>
      <c r="E104" s="8">
        <v>3.14159265358979</v>
      </c>
      <c r="F104" s="7"/>
      <c r="G104" s="10">
        <v>42.337721424278897</v>
      </c>
      <c r="H104" s="10">
        <v>45.929887110114201</v>
      </c>
      <c r="I104" s="10">
        <v>3.14159265358979</v>
      </c>
      <c r="K104" s="10">
        <v>41.135962569953499</v>
      </c>
      <c r="L104" s="10">
        <v>45.800133018091003</v>
      </c>
      <c r="M104" s="10">
        <v>-3.0986271668660201</v>
      </c>
      <c r="N104" s="13"/>
      <c r="O104" s="10">
        <v>49.007234059567601</v>
      </c>
      <c r="P104" s="10">
        <v>43.743081876466</v>
      </c>
      <c r="Q104" s="10">
        <v>2.9589945269895401</v>
      </c>
      <c r="R104" s="13"/>
      <c r="S104" s="20">
        <v>3.14159265358979</v>
      </c>
      <c r="T104" s="13"/>
      <c r="U104" s="13">
        <f t="shared" si="9"/>
        <v>0</v>
      </c>
      <c r="V104" s="13">
        <f t="shared" si="10"/>
        <v>0</v>
      </c>
      <c r="W104" s="13">
        <f t="shared" si="20"/>
        <v>2.4617410539977413</v>
      </c>
      <c r="X104" s="13">
        <f t="shared" si="12"/>
        <v>-10.462102001189811</v>
      </c>
      <c r="Z104" t="str">
        <f t="shared" si="13"/>
        <v>42,44.1940298507462</v>
      </c>
      <c r="AA104" t="str">
        <f t="shared" si="14"/>
        <v>42.3377214242789,45.9298871101142</v>
      </c>
      <c r="AB104" t="str">
        <f t="shared" si="15"/>
        <v>41.1359625699535,45.800133018091</v>
      </c>
      <c r="AC104" t="str">
        <f t="shared" si="16"/>
        <v>49.0072340595676,43.743081876466</v>
      </c>
    </row>
    <row r="105" spans="2:29" x14ac:dyDescent="0.2">
      <c r="B105" s="3">
        <v>103</v>
      </c>
      <c r="C105" s="6">
        <v>42</v>
      </c>
      <c r="D105" s="6">
        <v>45.134328358208897</v>
      </c>
      <c r="E105" s="8">
        <v>3.14159265358979</v>
      </c>
      <c r="F105" s="7"/>
      <c r="G105" s="10">
        <v>42.337721424278897</v>
      </c>
      <c r="H105" s="10">
        <v>46.870185617576901</v>
      </c>
      <c r="I105" s="10">
        <v>3.14159265358979</v>
      </c>
      <c r="K105" s="10">
        <v>41.095574615841201</v>
      </c>
      <c r="L105" s="10">
        <v>46.739563748000997</v>
      </c>
      <c r="M105" s="10">
        <v>3.1297777726241098</v>
      </c>
      <c r="N105" s="13"/>
      <c r="O105" s="10">
        <v>49.177978273844701</v>
      </c>
      <c r="P105" s="10">
        <v>44.667748138653302</v>
      </c>
      <c r="Q105" s="10">
        <v>2.91712444271977</v>
      </c>
      <c r="R105" s="13"/>
      <c r="S105" s="20">
        <v>3.14159265358979</v>
      </c>
      <c r="T105" s="13"/>
      <c r="U105" s="13">
        <f t="shared" si="9"/>
        <v>0</v>
      </c>
      <c r="V105" s="13">
        <f t="shared" si="10"/>
        <v>0</v>
      </c>
      <c r="W105" s="13">
        <f t="shared" si="17"/>
        <v>-0.6769428147829244</v>
      </c>
      <c r="X105" s="13">
        <f t="shared" si="12"/>
        <v>-12.861081117704735</v>
      </c>
      <c r="Z105" t="str">
        <f t="shared" si="13"/>
        <v>42,45.1343283582089</v>
      </c>
      <c r="AA105" t="str">
        <f t="shared" si="14"/>
        <v>42.3377214242789,46.8701856175769</v>
      </c>
      <c r="AB105" t="str">
        <f t="shared" si="15"/>
        <v>41.0955746158412,46.739563748001</v>
      </c>
      <c r="AC105" t="str">
        <f t="shared" si="16"/>
        <v>49.1779782738447,44.6677481386533</v>
      </c>
    </row>
    <row r="106" spans="2:29" x14ac:dyDescent="0.2">
      <c r="B106" s="3">
        <v>104</v>
      </c>
      <c r="C106" s="6">
        <v>42</v>
      </c>
      <c r="D106" s="6">
        <v>46.074626865671597</v>
      </c>
      <c r="E106" s="8">
        <v>3.14159265358979</v>
      </c>
      <c r="F106" s="7"/>
      <c r="G106" s="10">
        <v>42.337721424278897</v>
      </c>
      <c r="H106" s="10">
        <v>47.810484125039501</v>
      </c>
      <c r="I106" s="10">
        <v>3.1297777726241098</v>
      </c>
      <c r="K106" s="10">
        <v>41.106683872315401</v>
      </c>
      <c r="L106" s="10">
        <v>47.6797966274288</v>
      </c>
      <c r="M106" s="10">
        <v>-3.0733205424516399</v>
      </c>
      <c r="N106" s="13"/>
      <c r="O106" s="10">
        <v>49.387277386964499</v>
      </c>
      <c r="P106" s="10">
        <v>45.584457015224203</v>
      </c>
      <c r="Q106" s="10">
        <v>2.9757850660146401</v>
      </c>
      <c r="R106" s="13"/>
      <c r="S106" s="20">
        <v>3.14159265358979</v>
      </c>
      <c r="T106" s="13"/>
      <c r="U106" s="13">
        <f t="shared" si="9"/>
        <v>0</v>
      </c>
      <c r="V106" s="13">
        <f t="shared" si="10"/>
        <v>-0.6769428147829244</v>
      </c>
      <c r="W106" s="13">
        <f>(M106-S106)*180/PI()+360</f>
        <v>3.9117038266645068</v>
      </c>
      <c r="X106" s="13">
        <f t="shared" si="12"/>
        <v>-9.5000749793018784</v>
      </c>
      <c r="Z106" t="str">
        <f t="shared" si="13"/>
        <v>42,46.0746268656716</v>
      </c>
      <c r="AA106" t="str">
        <f t="shared" si="14"/>
        <v>42.3377214242789,47.8104841250395</v>
      </c>
      <c r="AB106" t="str">
        <f t="shared" si="15"/>
        <v>41.1066838723154,47.6797966274288</v>
      </c>
      <c r="AC106" t="str">
        <f t="shared" si="16"/>
        <v>49.3872773869645,45.5844570152242</v>
      </c>
    </row>
    <row r="107" spans="2:29" x14ac:dyDescent="0.2">
      <c r="B107" s="3">
        <v>105</v>
      </c>
      <c r="C107" s="6">
        <v>42</v>
      </c>
      <c r="D107" s="6">
        <v>47.014925373134297</v>
      </c>
      <c r="E107" s="8">
        <v>3.14159265358979</v>
      </c>
      <c r="F107" s="7"/>
      <c r="G107" s="10">
        <v>42.348830680753103</v>
      </c>
      <c r="H107" s="10">
        <v>48.750717004467397</v>
      </c>
      <c r="I107" s="10">
        <v>3.14159265358979</v>
      </c>
      <c r="K107" s="10">
        <v>41.042537567078199</v>
      </c>
      <c r="L107" s="10">
        <v>48.617904582123202</v>
      </c>
      <c r="M107" s="10">
        <v>-3.09515114000587</v>
      </c>
      <c r="N107" s="13"/>
      <c r="O107" s="10">
        <v>49.542472618048002</v>
      </c>
      <c r="P107" s="10">
        <v>46.511859691188398</v>
      </c>
      <c r="Q107" s="10">
        <v>2.9559106695277602</v>
      </c>
      <c r="R107" s="13"/>
      <c r="S107" s="20">
        <v>3.14159265358979</v>
      </c>
      <c r="T107" s="13"/>
      <c r="U107" s="13">
        <f t="shared" si="9"/>
        <v>0</v>
      </c>
      <c r="V107" s="13">
        <f t="shared" si="10"/>
        <v>0</v>
      </c>
      <c r="W107" s="13">
        <f>(M107-S107)*180/PI()+360</f>
        <v>2.6609027225584896</v>
      </c>
      <c r="X107" s="13">
        <f t="shared" si="12"/>
        <v>-10.638794018369728</v>
      </c>
      <c r="Z107" t="str">
        <f t="shared" si="13"/>
        <v>42,47.0149253731343</v>
      </c>
      <c r="AA107" t="str">
        <f t="shared" si="14"/>
        <v>42.3488306807531,48.7507170044674</v>
      </c>
      <c r="AB107" t="str">
        <f t="shared" si="15"/>
        <v>41.0425375670782,48.6179045821232</v>
      </c>
      <c r="AC107" t="str">
        <f t="shared" si="16"/>
        <v>49.542472618048,46.5118596911884</v>
      </c>
    </row>
    <row r="108" spans="2:29" x14ac:dyDescent="0.2">
      <c r="B108" s="3">
        <v>106</v>
      </c>
      <c r="C108" s="6">
        <v>42</v>
      </c>
      <c r="D108" s="6">
        <v>47.955223880597003</v>
      </c>
      <c r="E108" s="8">
        <v>3.14159265358979</v>
      </c>
      <c r="F108" s="7"/>
      <c r="G108" s="10">
        <v>42.348830680753103</v>
      </c>
      <c r="H108" s="10">
        <v>49.691015511930097</v>
      </c>
      <c r="I108" s="10">
        <v>3.14159265358979</v>
      </c>
      <c r="K108" s="10">
        <v>40.998884377090199</v>
      </c>
      <c r="L108" s="10">
        <v>49.557189247248999</v>
      </c>
      <c r="M108" s="10">
        <v>3.1415921592643299</v>
      </c>
      <c r="N108" s="13"/>
      <c r="O108" s="10">
        <v>49.716067554854398</v>
      </c>
      <c r="P108" s="10">
        <v>47.435995006524699</v>
      </c>
      <c r="Q108" s="10">
        <v>2.9056246658589702</v>
      </c>
      <c r="R108" s="13"/>
      <c r="S108" s="20">
        <v>3.14159265358979</v>
      </c>
      <c r="T108" s="13"/>
      <c r="U108" s="13">
        <f t="shared" si="9"/>
        <v>0</v>
      </c>
      <c r="V108" s="13">
        <f t="shared" si="10"/>
        <v>0</v>
      </c>
      <c r="W108" s="13">
        <f t="shared" si="17"/>
        <v>-2.8322762570787075E-5</v>
      </c>
      <c r="X108" s="13">
        <f t="shared" si="12"/>
        <v>-13.519969797170768</v>
      </c>
      <c r="Z108" t="str">
        <f t="shared" si="13"/>
        <v>42,47.955223880597</v>
      </c>
      <c r="AA108" t="str">
        <f t="shared" si="14"/>
        <v>42.3488306807531,49.6910155119301</v>
      </c>
      <c r="AB108" t="str">
        <f t="shared" si="15"/>
        <v>40.9988843770902,49.557189247249</v>
      </c>
      <c r="AC108" t="str">
        <f t="shared" si="16"/>
        <v>49.7160675548544,47.4359950065247</v>
      </c>
    </row>
    <row r="109" spans="2:29" x14ac:dyDescent="0.2">
      <c r="B109" s="3">
        <v>107</v>
      </c>
      <c r="C109" s="6">
        <v>42</v>
      </c>
      <c r="D109" s="6">
        <v>48.895522388059703</v>
      </c>
      <c r="E109" s="8">
        <v>3.14159265358979</v>
      </c>
      <c r="F109" s="7"/>
      <c r="G109" s="10">
        <v>42.348830680753103</v>
      </c>
      <c r="H109" s="10">
        <v>50.631314019392804</v>
      </c>
      <c r="I109" s="10">
        <v>3.1415921592643299</v>
      </c>
      <c r="K109" s="10">
        <v>40.998884841903703</v>
      </c>
      <c r="L109" s="10">
        <v>50.497487754711599</v>
      </c>
      <c r="M109" s="10">
        <v>-3.12416360854353</v>
      </c>
      <c r="N109" s="13"/>
      <c r="O109" s="10">
        <v>49.935894543935298</v>
      </c>
      <c r="P109" s="10">
        <v>48.350236428692902</v>
      </c>
      <c r="Q109" s="10">
        <v>2.93366349089125</v>
      </c>
      <c r="R109" s="13"/>
      <c r="S109" s="20">
        <v>3.14159265358979</v>
      </c>
      <c r="T109" s="13"/>
      <c r="U109" s="13">
        <f t="shared" si="9"/>
        <v>0</v>
      </c>
      <c r="V109" s="13">
        <f t="shared" si="10"/>
        <v>-2.8322762570787075E-5</v>
      </c>
      <c r="W109" s="13">
        <f>(M109-S109)*180/PI()+360</f>
        <v>0.99861072209444046</v>
      </c>
      <c r="X109" s="13">
        <f t="shared" si="12"/>
        <v>-11.91346346031537</v>
      </c>
      <c r="Z109" t="str">
        <f t="shared" si="13"/>
        <v>42,48.8955223880597</v>
      </c>
      <c r="AA109" t="str">
        <f t="shared" si="14"/>
        <v>42.3488306807531,50.6313140193928</v>
      </c>
      <c r="AB109" t="str">
        <f t="shared" si="15"/>
        <v>40.9988848419037,50.4974877547116</v>
      </c>
      <c r="AC109" t="str">
        <f t="shared" si="16"/>
        <v>49.9358945439353,48.3502364286929</v>
      </c>
    </row>
    <row r="110" spans="2:29" x14ac:dyDescent="0.2">
      <c r="B110" s="3">
        <v>108</v>
      </c>
      <c r="C110" s="6">
        <v>42</v>
      </c>
      <c r="D110" s="6">
        <v>49.835820895522403</v>
      </c>
      <c r="E110" s="8">
        <v>3.14159265358979</v>
      </c>
      <c r="F110" s="7"/>
      <c r="G110" s="10">
        <v>42.348831145566599</v>
      </c>
      <c r="H110" s="10">
        <v>51.571612526855297</v>
      </c>
      <c r="I110" s="10">
        <v>3.14159265358979</v>
      </c>
      <c r="K110" s="10">
        <v>40.982497166574703</v>
      </c>
      <c r="L110" s="10">
        <v>51.437643447793299</v>
      </c>
      <c r="M110" s="10">
        <v>-3.11957828347813</v>
      </c>
      <c r="N110" s="13"/>
      <c r="O110" s="10">
        <v>50.130004230790398</v>
      </c>
      <c r="P110" s="10">
        <v>49.270281380097799</v>
      </c>
      <c r="Q110" s="10">
        <v>2.95466073229339</v>
      </c>
      <c r="R110" s="13"/>
      <c r="S110" s="20">
        <v>3.14159265358979</v>
      </c>
      <c r="T110" s="13"/>
      <c r="U110" s="13">
        <f t="shared" si="9"/>
        <v>0</v>
      </c>
      <c r="V110" s="13">
        <f t="shared" si="10"/>
        <v>0</v>
      </c>
      <c r="W110" s="13">
        <f t="shared" ref="W110:W111" si="21">(M110-S110)*180/PI()+360</f>
        <v>1.2613304960374307</v>
      </c>
      <c r="X110" s="13">
        <f t="shared" si="12"/>
        <v>-10.710410146555393</v>
      </c>
      <c r="Z110" t="str">
        <f t="shared" si="13"/>
        <v>42,49.8358208955224</v>
      </c>
      <c r="AA110" t="str">
        <f t="shared" si="14"/>
        <v>42.3488311455666,51.5716125268553</v>
      </c>
      <c r="AB110" t="str">
        <f t="shared" si="15"/>
        <v>40.9824971665747,51.4376434477933</v>
      </c>
      <c r="AC110" t="str">
        <f t="shared" si="16"/>
        <v>50.1300042307904,49.2702813800978</v>
      </c>
    </row>
    <row r="111" spans="2:29" x14ac:dyDescent="0.2">
      <c r="B111" s="3">
        <v>109</v>
      </c>
      <c r="C111" s="6">
        <v>42</v>
      </c>
      <c r="D111" s="6">
        <v>50.776119402985003</v>
      </c>
      <c r="E111" s="8">
        <v>3.14159265358979</v>
      </c>
      <c r="F111" s="7"/>
      <c r="G111" s="10">
        <v>42.348831145566599</v>
      </c>
      <c r="H111" s="10">
        <v>52.511911034317997</v>
      </c>
      <c r="I111" s="10">
        <v>3.14159265358979</v>
      </c>
      <c r="K111" s="10">
        <v>40.961798759163997</v>
      </c>
      <c r="L111" s="10">
        <v>52.377714114853603</v>
      </c>
      <c r="M111" s="10">
        <v>-3.1405371760858398</v>
      </c>
      <c r="N111" s="13"/>
      <c r="O111" s="10">
        <v>50.304754142828898</v>
      </c>
      <c r="P111" s="10">
        <v>50.194198990807202</v>
      </c>
      <c r="Q111" s="10">
        <v>2.9303840866373001</v>
      </c>
      <c r="R111" s="13"/>
      <c r="S111" s="20">
        <v>3.14159265358979</v>
      </c>
      <c r="T111" s="13"/>
      <c r="U111" s="13">
        <f t="shared" si="9"/>
        <v>0</v>
      </c>
      <c r="V111" s="13">
        <f t="shared" si="10"/>
        <v>0</v>
      </c>
      <c r="W111" s="13">
        <f t="shared" si="21"/>
        <v>6.0474406347680087E-2</v>
      </c>
      <c r="X111" s="13">
        <f t="shared" si="12"/>
        <v>-12.101359483383947</v>
      </c>
      <c r="Z111" t="str">
        <f t="shared" si="13"/>
        <v>42,50.776119402985</v>
      </c>
      <c r="AA111" t="str">
        <f t="shared" si="14"/>
        <v>42.3488311455666,52.511911034318</v>
      </c>
      <c r="AB111" t="str">
        <f t="shared" si="15"/>
        <v>40.961798759164,52.3777141148536</v>
      </c>
      <c r="AC111" t="str">
        <f t="shared" si="16"/>
        <v>50.3047541428289,50.1941989908072</v>
      </c>
    </row>
    <row r="112" spans="2:29" x14ac:dyDescent="0.2">
      <c r="B112" s="3">
        <v>110</v>
      </c>
      <c r="C112" s="6">
        <v>42</v>
      </c>
      <c r="D112" s="6">
        <v>51.716417910447703</v>
      </c>
      <c r="E112" s="8">
        <v>3.14159265358979</v>
      </c>
      <c r="F112" s="7"/>
      <c r="G112" s="10">
        <v>42.348831145566599</v>
      </c>
      <c r="H112" s="10">
        <v>53.452209541780697</v>
      </c>
      <c r="I112" s="10">
        <v>3.14159265358979</v>
      </c>
      <c r="K112" s="10">
        <v>40.9608062954266</v>
      </c>
      <c r="L112" s="10">
        <v>53.318012098554597</v>
      </c>
      <c r="M112" s="10">
        <v>3.1330093175312501</v>
      </c>
      <c r="N112" s="13"/>
      <c r="O112" s="10">
        <v>50.5018799798288</v>
      </c>
      <c r="P112" s="10">
        <v>51.113602431916497</v>
      </c>
      <c r="Q112" s="10">
        <v>2.9104960899846799</v>
      </c>
      <c r="R112" s="13"/>
      <c r="S112" s="20">
        <v>3.14159265358979</v>
      </c>
      <c r="T112" s="13"/>
      <c r="U112" s="13">
        <f t="shared" si="9"/>
        <v>0</v>
      </c>
      <c r="V112" s="13">
        <f t="shared" si="10"/>
        <v>0</v>
      </c>
      <c r="W112" s="13">
        <f t="shared" si="17"/>
        <v>-0.49178893029679072</v>
      </c>
      <c r="X112" s="13">
        <f t="shared" si="12"/>
        <v>-13.240857754549394</v>
      </c>
      <c r="Z112" t="str">
        <f t="shared" si="13"/>
        <v>42,51.7164179104477</v>
      </c>
      <c r="AA112" t="str">
        <f t="shared" si="14"/>
        <v>42.3488311455666,53.4522095417807</v>
      </c>
      <c r="AB112" t="str">
        <f t="shared" si="15"/>
        <v>40.9608062954266,53.3180120985546</v>
      </c>
      <c r="AC112" t="str">
        <f t="shared" si="16"/>
        <v>50.5018799798288,51.1136024319165</v>
      </c>
    </row>
    <row r="113" spans="2:29" x14ac:dyDescent="0.2">
      <c r="B113" s="3">
        <v>111</v>
      </c>
      <c r="C113" s="6">
        <v>42</v>
      </c>
      <c r="D113" s="6">
        <v>52.656716417910403</v>
      </c>
      <c r="E113" s="8">
        <v>3.14159265358979</v>
      </c>
      <c r="F113" s="7"/>
      <c r="G113" s="10">
        <v>42.348831145566599</v>
      </c>
      <c r="H113" s="10">
        <v>54.392508049243403</v>
      </c>
      <c r="I113" s="10">
        <v>3.1330093175312501</v>
      </c>
      <c r="K113" s="10">
        <v>40.968877094409798</v>
      </c>
      <c r="L113" s="10">
        <v>54.258275968614697</v>
      </c>
      <c r="M113" s="10">
        <v>-3.1182578364688398</v>
      </c>
      <c r="N113" s="13"/>
      <c r="O113" s="10">
        <v>50.717250720476699</v>
      </c>
      <c r="P113" s="10">
        <v>52.0289038725411</v>
      </c>
      <c r="Q113" s="10">
        <v>2.92402155818694</v>
      </c>
      <c r="R113" s="13"/>
      <c r="S113" s="20">
        <v>3.14159265358979</v>
      </c>
      <c r="T113" s="13"/>
      <c r="U113" s="13">
        <f t="shared" si="9"/>
        <v>0</v>
      </c>
      <c r="V113" s="13">
        <f t="shared" si="10"/>
        <v>-0.49178893029679072</v>
      </c>
      <c r="W113" s="13">
        <f>(M113-S113)*180/PI()+360</f>
        <v>1.3369865367404259</v>
      </c>
      <c r="X113" s="13">
        <f t="shared" si="12"/>
        <v>-12.465905510621493</v>
      </c>
      <c r="Z113" t="str">
        <f t="shared" si="13"/>
        <v>42,52.6567164179104</v>
      </c>
      <c r="AA113" t="str">
        <f t="shared" si="14"/>
        <v>42.3488311455666,54.3925080492434</v>
      </c>
      <c r="AB113" t="str">
        <f t="shared" si="15"/>
        <v>40.9688770944098,54.2582759686147</v>
      </c>
      <c r="AC113" t="str">
        <f t="shared" si="16"/>
        <v>50.7172507204767,52.0289038725411</v>
      </c>
    </row>
    <row r="114" spans="2:29" x14ac:dyDescent="0.2">
      <c r="B114" s="3">
        <v>112</v>
      </c>
      <c r="C114" s="6">
        <v>42</v>
      </c>
      <c r="D114" s="6">
        <v>53.597014925373102</v>
      </c>
      <c r="E114" s="8">
        <v>3.14159265358979</v>
      </c>
      <c r="F114" s="7"/>
      <c r="G114" s="10">
        <v>42.356901944549797</v>
      </c>
      <c r="H114" s="10">
        <v>55.332771919303397</v>
      </c>
      <c r="I114" s="10">
        <v>3.14159265358979</v>
      </c>
      <c r="K114" s="10">
        <v>40.946937391903603</v>
      </c>
      <c r="L114" s="10">
        <v>55.198318484988597</v>
      </c>
      <c r="M114" s="10">
        <v>-3.1262233153417802</v>
      </c>
      <c r="N114" s="13"/>
      <c r="O114" s="10">
        <v>50.920222258572402</v>
      </c>
      <c r="P114" s="10">
        <v>52.947034493890598</v>
      </c>
      <c r="Q114" s="10">
        <v>2.918080138818</v>
      </c>
      <c r="R114" s="13"/>
      <c r="S114" s="20">
        <v>3.14159265358979</v>
      </c>
      <c r="T114" s="13"/>
      <c r="U114" s="13">
        <f t="shared" si="9"/>
        <v>0</v>
      </c>
      <c r="V114" s="13">
        <f t="shared" si="10"/>
        <v>0</v>
      </c>
      <c r="W114" s="13">
        <f t="shared" ref="W114:W115" si="22">(M114-S114)*180/PI()+360</f>
        <v>0.88059821552030826</v>
      </c>
      <c r="X114" s="13">
        <f t="shared" si="12"/>
        <v>-12.806323764779037</v>
      </c>
      <c r="Z114" t="str">
        <f t="shared" si="13"/>
        <v>42,53.5970149253731</v>
      </c>
      <c r="AA114" t="str">
        <f t="shared" si="14"/>
        <v>42.3569019445498,55.3327719193034</v>
      </c>
      <c r="AB114" t="str">
        <f t="shared" si="15"/>
        <v>40.9469373919036,55.1983184849886</v>
      </c>
      <c r="AC114" t="str">
        <f t="shared" si="16"/>
        <v>50.9202222585724,52.9470344938906</v>
      </c>
    </row>
    <row r="115" spans="2:29" x14ac:dyDescent="0.2">
      <c r="B115" s="3">
        <v>113</v>
      </c>
      <c r="C115" s="6">
        <v>42</v>
      </c>
      <c r="D115" s="6">
        <v>54.537313432835802</v>
      </c>
      <c r="E115" s="8">
        <v>3.14159265358979</v>
      </c>
      <c r="F115" s="7"/>
      <c r="G115" s="10">
        <v>42.356901944549797</v>
      </c>
      <c r="H115" s="10">
        <v>56.273070426766097</v>
      </c>
      <c r="I115" s="10">
        <v>3.14159265358979</v>
      </c>
      <c r="K115" s="10">
        <v>40.932486195039303</v>
      </c>
      <c r="L115" s="10">
        <v>56.138505937598801</v>
      </c>
      <c r="M115" s="10">
        <v>-3.13100323237094</v>
      </c>
      <c r="N115" s="13"/>
      <c r="O115" s="10">
        <v>51.128645181146901</v>
      </c>
      <c r="P115" s="10">
        <v>53.8639429781364</v>
      </c>
      <c r="Q115" s="10">
        <v>2.9229715690843299</v>
      </c>
      <c r="R115" s="13"/>
      <c r="S115" s="20">
        <v>3.14159265358979</v>
      </c>
      <c r="T115" s="13"/>
      <c r="U115" s="13">
        <f t="shared" si="9"/>
        <v>0</v>
      </c>
      <c r="V115" s="13">
        <f t="shared" si="10"/>
        <v>0</v>
      </c>
      <c r="W115" s="13">
        <f t="shared" si="22"/>
        <v>0.60672914332678829</v>
      </c>
      <c r="X115" s="13">
        <f t="shared" si="12"/>
        <v>-12.526065454735784</v>
      </c>
      <c r="Z115" t="str">
        <f t="shared" si="13"/>
        <v>42,54.5373134328358</v>
      </c>
      <c r="AA115" t="str">
        <f t="shared" si="14"/>
        <v>42.3569019445498,56.2730704267661</v>
      </c>
      <c r="AB115" t="str">
        <f t="shared" si="15"/>
        <v>40.9324861950393,56.1385059375988</v>
      </c>
      <c r="AC115" t="str">
        <f t="shared" si="16"/>
        <v>51.1286451811469,53.8639429781364</v>
      </c>
    </row>
    <row r="116" spans="2:29" x14ac:dyDescent="0.2">
      <c r="B116" s="3">
        <v>114</v>
      </c>
      <c r="C116" s="6">
        <v>42</v>
      </c>
      <c r="D116" s="6">
        <v>55.477611940298502</v>
      </c>
      <c r="E116" s="8">
        <v>3.14159265358979</v>
      </c>
      <c r="F116" s="7"/>
      <c r="G116" s="10">
        <v>42.356901944549797</v>
      </c>
      <c r="H116" s="10">
        <v>57.213368934228797</v>
      </c>
      <c r="I116" s="10">
        <v>3.14159265358979</v>
      </c>
      <c r="K116" s="10">
        <v>40.9225291641648</v>
      </c>
      <c r="L116" s="10">
        <v>57.078751724971802</v>
      </c>
      <c r="M116" s="10">
        <v>3.1169303438911902</v>
      </c>
      <c r="N116" s="13"/>
      <c r="O116" s="10">
        <v>51.332580634326902</v>
      </c>
      <c r="P116" s="10">
        <v>54.781859975513001</v>
      </c>
      <c r="Q116" s="10">
        <v>2.8868060133173699</v>
      </c>
      <c r="R116" s="13"/>
      <c r="S116" s="20">
        <v>3.14159265358979</v>
      </c>
      <c r="T116" s="13"/>
      <c r="U116" s="13">
        <f t="shared" si="9"/>
        <v>0</v>
      </c>
      <c r="V116" s="13">
        <f t="shared" si="10"/>
        <v>0</v>
      </c>
      <c r="W116" s="13">
        <f t="shared" si="17"/>
        <v>-1.413046258774328</v>
      </c>
      <c r="X116" s="13">
        <f t="shared" si="12"/>
        <v>-14.598199163927607</v>
      </c>
      <c r="Z116" t="str">
        <f t="shared" si="13"/>
        <v>42,55.4776119402985</v>
      </c>
      <c r="AA116" t="str">
        <f t="shared" si="14"/>
        <v>42.3569019445498,57.2133689342288</v>
      </c>
      <c r="AB116" t="str">
        <f t="shared" si="15"/>
        <v>40.9225291641648,57.0787517249718</v>
      </c>
      <c r="AC116" t="str">
        <f t="shared" si="16"/>
        <v>51.3325806343269,54.781859975513</v>
      </c>
    </row>
    <row r="117" spans="2:29" x14ac:dyDescent="0.2">
      <c r="B117" s="3">
        <v>115</v>
      </c>
      <c r="C117" s="6">
        <v>42</v>
      </c>
      <c r="D117" s="6">
        <v>56.417910447761201</v>
      </c>
      <c r="E117" s="8">
        <v>3.14159265358979</v>
      </c>
      <c r="F117" s="7"/>
      <c r="G117" s="10">
        <v>42.356901944549797</v>
      </c>
      <c r="H117" s="10">
        <v>58.153667441691503</v>
      </c>
      <c r="I117" s="10">
        <v>3.1169303438911902</v>
      </c>
      <c r="K117" s="10">
        <v>40.945716746436098</v>
      </c>
      <c r="L117" s="10">
        <v>58.018764288273502</v>
      </c>
      <c r="M117" s="10">
        <v>3.1315005566993102</v>
      </c>
      <c r="N117" s="13"/>
      <c r="O117" s="10">
        <v>51.569572475798502</v>
      </c>
      <c r="P117" s="10">
        <v>55.691802913401098</v>
      </c>
      <c r="Q117" s="10">
        <v>2.9101332342286499</v>
      </c>
      <c r="R117" s="13"/>
      <c r="S117" s="20">
        <v>3.14159265358979</v>
      </c>
      <c r="T117" s="13"/>
      <c r="U117" s="13">
        <f t="shared" si="9"/>
        <v>0</v>
      </c>
      <c r="V117" s="13">
        <f t="shared" si="10"/>
        <v>-1.413046258774328</v>
      </c>
      <c r="W117" s="13">
        <f t="shared" si="17"/>
        <v>-0.57823455826159731</v>
      </c>
      <c r="X117" s="13">
        <f t="shared" si="12"/>
        <v>-13.261647857941943</v>
      </c>
      <c r="Z117" t="str">
        <f t="shared" si="13"/>
        <v>42,56.4179104477612</v>
      </c>
      <c r="AA117" t="str">
        <f t="shared" si="14"/>
        <v>42.3569019445498,58.1536674416915</v>
      </c>
      <c r="AB117" t="str">
        <f t="shared" si="15"/>
        <v>40.9457167464361,58.0187642882735</v>
      </c>
      <c r="AC117" t="str">
        <f t="shared" si="16"/>
        <v>51.5695724757985,55.6918029134011</v>
      </c>
    </row>
    <row r="118" spans="2:29" x14ac:dyDescent="0.2">
      <c r="B118" s="3">
        <v>116</v>
      </c>
      <c r="C118" s="6">
        <v>42</v>
      </c>
      <c r="D118" s="6">
        <v>57.358208955223802</v>
      </c>
      <c r="E118" s="8">
        <v>3.14159265358979</v>
      </c>
      <c r="F118" s="7"/>
      <c r="G118" s="10">
        <v>42.380089526821102</v>
      </c>
      <c r="H118" s="10">
        <v>59.093680004993203</v>
      </c>
      <c r="I118" s="10">
        <v>3.1315005566993102</v>
      </c>
      <c r="K118" s="10">
        <v>40.955206168993897</v>
      </c>
      <c r="L118" s="10">
        <v>58.959014911243798</v>
      </c>
      <c r="M118" s="10">
        <v>3.1026115836353498</v>
      </c>
      <c r="N118" s="13"/>
      <c r="O118" s="10">
        <v>51.7852753246571</v>
      </c>
      <c r="P118" s="10">
        <v>56.607026145258203</v>
      </c>
      <c r="Q118" s="10">
        <v>2.87435029549939</v>
      </c>
      <c r="R118" s="13"/>
      <c r="S118" s="20">
        <v>3.14159265358979</v>
      </c>
      <c r="T118" s="13"/>
      <c r="U118" s="13">
        <f t="shared" si="9"/>
        <v>0</v>
      </c>
      <c r="V118" s="13">
        <f t="shared" si="10"/>
        <v>-0.57823455826159731</v>
      </c>
      <c r="W118" s="13">
        <f t="shared" si="17"/>
        <v>-2.2334507892936419</v>
      </c>
      <c r="X118" s="13">
        <f t="shared" si="12"/>
        <v>-15.311859225703749</v>
      </c>
      <c r="Z118" t="str">
        <f t="shared" si="13"/>
        <v>42,57.3582089552238</v>
      </c>
      <c r="AA118" t="str">
        <f t="shared" si="14"/>
        <v>42.3800895268211,59.0936800049932</v>
      </c>
      <c r="AB118" t="str">
        <f t="shared" si="15"/>
        <v>40.9552061689939,58.9590149112438</v>
      </c>
      <c r="AC118" t="str">
        <f t="shared" si="16"/>
        <v>51.7852753246571,56.6070261452582</v>
      </c>
    </row>
    <row r="119" spans="2:29" x14ac:dyDescent="0.2">
      <c r="B119" s="3">
        <v>117</v>
      </c>
      <c r="C119" s="6">
        <v>42</v>
      </c>
      <c r="D119" s="6">
        <v>58.298507462686501</v>
      </c>
      <c r="E119" s="8">
        <v>3.14159265358979</v>
      </c>
      <c r="F119" s="7"/>
      <c r="G119" s="10">
        <v>42.389578949378901</v>
      </c>
      <c r="H119" s="10">
        <v>60.0339306279635</v>
      </c>
      <c r="I119" s="10">
        <v>3.1026115836353498</v>
      </c>
      <c r="K119" s="10">
        <v>40.9918507288657</v>
      </c>
      <c r="L119" s="10">
        <v>59.898599106177002</v>
      </c>
      <c r="M119" s="10">
        <v>-3.1409896388155598</v>
      </c>
      <c r="N119" s="13"/>
      <c r="O119" s="10">
        <v>52.033582481726398</v>
      </c>
      <c r="P119" s="10">
        <v>57.513946670378601</v>
      </c>
      <c r="Q119" s="10">
        <v>2.8995877921511899</v>
      </c>
      <c r="R119" s="13"/>
      <c r="S119" s="20">
        <v>3.14159265358979</v>
      </c>
      <c r="T119" s="13"/>
      <c r="U119" s="13">
        <f t="shared" si="9"/>
        <v>0</v>
      </c>
      <c r="V119" s="13">
        <f t="shared" si="10"/>
        <v>-2.2334507892936419</v>
      </c>
      <c r="W119" s="13">
        <f>(M119-S119)*180/PI()+360</f>
        <v>3.4550201547801862E-2</v>
      </c>
      <c r="X119" s="13">
        <f t="shared" si="12"/>
        <v>-13.86585718208007</v>
      </c>
      <c r="Z119" t="str">
        <f t="shared" si="13"/>
        <v>42,58.2985074626865</v>
      </c>
      <c r="AA119" t="str">
        <f t="shared" si="14"/>
        <v>42.3895789493789,60.0339306279635</v>
      </c>
      <c r="AB119" t="str">
        <f t="shared" si="15"/>
        <v>40.9918507288657,59.898599106177</v>
      </c>
      <c r="AC119" t="str">
        <f t="shared" si="16"/>
        <v>52.0335824817264,57.5139466703786</v>
      </c>
    </row>
    <row r="120" spans="2:29" x14ac:dyDescent="0.2">
      <c r="B120" s="3">
        <v>118</v>
      </c>
      <c r="C120" s="6">
        <v>42</v>
      </c>
      <c r="D120" s="6">
        <v>59.238805970149201</v>
      </c>
      <c r="E120" s="8">
        <v>3.14159265358979</v>
      </c>
      <c r="F120" s="7"/>
      <c r="G120" s="10">
        <v>42.426223509250697</v>
      </c>
      <c r="H120" s="10">
        <v>60.973514822896703</v>
      </c>
      <c r="I120" s="10">
        <v>3.14159265358979</v>
      </c>
      <c r="K120" s="10">
        <v>40.991283715007803</v>
      </c>
      <c r="L120" s="10">
        <v>60.838897442680903</v>
      </c>
      <c r="M120" s="10">
        <v>3.1036348055381899</v>
      </c>
      <c r="N120" s="13"/>
      <c r="O120" s="10">
        <v>52.258924591629999</v>
      </c>
      <c r="P120" s="10">
        <v>58.426844373651399</v>
      </c>
      <c r="Q120" s="10">
        <v>2.8485897659014499</v>
      </c>
      <c r="R120" s="13"/>
      <c r="S120" s="20">
        <v>3.14159265358979</v>
      </c>
      <c r="T120" s="13"/>
      <c r="U120" s="13">
        <f t="shared" si="9"/>
        <v>0</v>
      </c>
      <c r="V120" s="13">
        <f t="shared" si="10"/>
        <v>0</v>
      </c>
      <c r="W120" s="13">
        <f t="shared" si="17"/>
        <v>-2.1748244927555591</v>
      </c>
      <c r="X120" s="13">
        <f t="shared" si="12"/>
        <v>-16.787828849687561</v>
      </c>
      <c r="Z120" t="str">
        <f t="shared" si="13"/>
        <v>42,59.2388059701492</v>
      </c>
      <c r="AA120" t="str">
        <f t="shared" si="14"/>
        <v>42.4262235092507,60.9735148228967</v>
      </c>
      <c r="AB120" t="str">
        <f t="shared" si="15"/>
        <v>40.9912837150078,60.8388974426809</v>
      </c>
      <c r="AC120" t="str">
        <f t="shared" si="16"/>
        <v>52.25892459163,58.4268443736514</v>
      </c>
    </row>
    <row r="121" spans="2:29" x14ac:dyDescent="0.2">
      <c r="B121" s="3">
        <v>119</v>
      </c>
      <c r="C121" s="6">
        <v>42</v>
      </c>
      <c r="D121" s="6">
        <v>60.179104477611901</v>
      </c>
      <c r="E121" s="8">
        <v>3.14159265358979</v>
      </c>
      <c r="F121" s="7"/>
      <c r="G121" s="10">
        <v>42.426223509250697</v>
      </c>
      <c r="H121" s="10">
        <v>61.913813330359403</v>
      </c>
      <c r="I121" s="10">
        <v>3.1036348055381899</v>
      </c>
      <c r="K121" s="10">
        <v>41.0269668527364</v>
      </c>
      <c r="L121" s="10">
        <v>61.778518641259502</v>
      </c>
      <c r="M121" s="10">
        <v>3.1335018584941698</v>
      </c>
      <c r="N121" s="13"/>
      <c r="O121" s="10">
        <v>52.530509533510703</v>
      </c>
      <c r="P121" s="10">
        <v>59.3270681805351</v>
      </c>
      <c r="Q121" s="10">
        <v>2.8698902631274801</v>
      </c>
      <c r="R121" s="13"/>
      <c r="S121" s="20">
        <v>3.14159265358979</v>
      </c>
      <c r="T121" s="13"/>
      <c r="U121" s="13">
        <f t="shared" si="9"/>
        <v>0</v>
      </c>
      <c r="V121" s="13">
        <f t="shared" si="10"/>
        <v>-2.1748244927555591</v>
      </c>
      <c r="W121" s="13">
        <f t="shared" si="17"/>
        <v>-0.46356841188418063</v>
      </c>
      <c r="X121" s="13">
        <f t="shared" si="12"/>
        <v>-15.567400257105911</v>
      </c>
      <c r="Z121" t="str">
        <f t="shared" si="13"/>
        <v>42,60.1791044776119</v>
      </c>
      <c r="AA121" t="str">
        <f t="shared" si="14"/>
        <v>42.4262235092507,61.9138133303594</v>
      </c>
      <c r="AB121" t="str">
        <f t="shared" si="15"/>
        <v>41.0269668527364,61.7785186412595</v>
      </c>
      <c r="AC121" t="str">
        <f t="shared" si="16"/>
        <v>52.5305095335107,59.3270681805351</v>
      </c>
    </row>
    <row r="122" spans="2:29" x14ac:dyDescent="0.2">
      <c r="B122" s="3">
        <v>120</v>
      </c>
      <c r="C122" s="6">
        <v>42</v>
      </c>
      <c r="D122" s="6">
        <v>61.119402985074601</v>
      </c>
      <c r="E122" s="8">
        <v>3.14159265358979</v>
      </c>
      <c r="F122" s="7"/>
      <c r="G122" s="10">
        <v>42.461906646979202</v>
      </c>
      <c r="H122" s="10">
        <v>62.853434528938102</v>
      </c>
      <c r="I122" s="10">
        <v>3.1335018584941698</v>
      </c>
      <c r="K122" s="10">
        <v>41.034574532287401</v>
      </c>
      <c r="L122" s="10">
        <v>62.718786372466099</v>
      </c>
      <c r="M122" s="10">
        <v>-3.0035017213295201</v>
      </c>
      <c r="N122" s="13"/>
      <c r="O122" s="10">
        <v>52.782859102425597</v>
      </c>
      <c r="P122" s="10">
        <v>60.2328722312023</v>
      </c>
      <c r="Q122" s="10">
        <v>3.0026798976623899</v>
      </c>
      <c r="R122" s="13"/>
      <c r="S122" s="20">
        <v>3.14159265358979</v>
      </c>
      <c r="T122" s="13"/>
      <c r="U122" s="13">
        <f t="shared" si="9"/>
        <v>0</v>
      </c>
      <c r="V122" s="13">
        <f t="shared" si="10"/>
        <v>-0.46356841188418063</v>
      </c>
      <c r="W122" s="13">
        <f>(M122-S122)*180/PI()+360</f>
        <v>7.9120276075407219</v>
      </c>
      <c r="X122" s="13">
        <f t="shared" si="12"/>
        <v>-7.9591146351709385</v>
      </c>
      <c r="Z122" t="str">
        <f t="shared" si="13"/>
        <v>42,61.1194029850746</v>
      </c>
      <c r="AA122" t="str">
        <f t="shared" si="14"/>
        <v>42.4619066469792,62.8534345289381</v>
      </c>
      <c r="AB122" t="str">
        <f t="shared" si="15"/>
        <v>41.0345745322874,62.7187863724661</v>
      </c>
      <c r="AC122" t="str">
        <f t="shared" si="16"/>
        <v>52.7828591024256,60.2328722312023</v>
      </c>
    </row>
    <row r="123" spans="2:29" x14ac:dyDescent="0.2">
      <c r="B123" s="3">
        <v>121</v>
      </c>
      <c r="C123" s="6">
        <v>42</v>
      </c>
      <c r="D123" s="6">
        <v>62.0597014925373</v>
      </c>
      <c r="E123" s="8">
        <v>3.14159265358979</v>
      </c>
      <c r="F123" s="7"/>
      <c r="G123" s="10">
        <v>42.469514326530202</v>
      </c>
      <c r="H123" s="10">
        <v>63.793702260144698</v>
      </c>
      <c r="I123" s="10">
        <v>-2.6060567387315401</v>
      </c>
      <c r="K123" s="10">
        <v>40.905140118229198</v>
      </c>
      <c r="L123" s="10">
        <v>63.6501337918505</v>
      </c>
      <c r="M123" s="10">
        <v>-2.6060567387315401</v>
      </c>
      <c r="N123" s="13"/>
      <c r="O123" s="10">
        <v>52.913058876039599</v>
      </c>
      <c r="P123" s="10">
        <v>61.1641129638205</v>
      </c>
      <c r="Q123" s="10">
        <v>-2.80244220309394</v>
      </c>
      <c r="R123" s="13"/>
      <c r="S123" s="20">
        <v>3.14159265358979</v>
      </c>
      <c r="T123" s="13"/>
      <c r="U123" s="13">
        <f t="shared" si="9"/>
        <v>0</v>
      </c>
      <c r="V123" s="13">
        <f>(I123-S123)*180/PI()+360</f>
        <v>30.683947699055466</v>
      </c>
      <c r="W123" s="13">
        <f>(M123-S123)*180/PI()+360</f>
        <v>30.683947699055466</v>
      </c>
      <c r="X123" s="13">
        <f>(Q123-S123)*180/PI()+360</f>
        <v>19.431889433373101</v>
      </c>
      <c r="Z123" t="str">
        <f t="shared" si="13"/>
        <v>42,62.0597014925373</v>
      </c>
      <c r="AA123" t="str">
        <f t="shared" si="14"/>
        <v>42.4695143265302,63.7937022601447</v>
      </c>
      <c r="AB123" t="str">
        <f t="shared" si="15"/>
        <v>40.9051401182292,63.6501337918505</v>
      </c>
      <c r="AC123" t="str">
        <f t="shared" si="16"/>
        <v>52.9130588760396,61.1641129638205</v>
      </c>
    </row>
    <row r="124" spans="2:29" x14ac:dyDescent="0.2">
      <c r="B124" s="3">
        <v>122</v>
      </c>
      <c r="C124" s="6">
        <v>42</v>
      </c>
      <c r="D124" s="6">
        <v>62.0597014925373</v>
      </c>
      <c r="E124" s="8">
        <v>-1.5707963267949001</v>
      </c>
      <c r="F124" s="7"/>
      <c r="G124" s="10">
        <v>42.469514326530202</v>
      </c>
      <c r="H124" s="10">
        <v>63.793702260144698</v>
      </c>
      <c r="I124" s="10">
        <v>-2.0962055828816202</v>
      </c>
      <c r="K124" s="10">
        <v>40.905140118229198</v>
      </c>
      <c r="L124" s="10">
        <v>63.6501337918505</v>
      </c>
      <c r="M124" s="10">
        <v>-2.0962055828816202</v>
      </c>
      <c r="N124" s="13"/>
      <c r="O124" s="10">
        <v>52.913058876039599</v>
      </c>
      <c r="P124" s="10">
        <v>61.1641129638205</v>
      </c>
      <c r="Q124" s="10">
        <v>-2.0058223287881098</v>
      </c>
      <c r="R124" s="13"/>
      <c r="S124" s="20">
        <v>-1.5707963267949001</v>
      </c>
      <c r="T124" s="13"/>
      <c r="U124" s="13">
        <f t="shared" si="9"/>
        <v>0</v>
      </c>
      <c r="V124" s="13">
        <f t="shared" si="10"/>
        <v>-30.103732890877318</v>
      </c>
      <c r="W124" s="13">
        <f t="shared" si="17"/>
        <v>-30.103732890877318</v>
      </c>
      <c r="X124" s="13">
        <f t="shared" si="12"/>
        <v>-24.925153892660653</v>
      </c>
      <c r="Z124" t="str">
        <f t="shared" si="13"/>
        <v>42,62.0597014925373</v>
      </c>
      <c r="AA124" t="str">
        <f t="shared" si="14"/>
        <v>42.4695143265302,63.7937022601447</v>
      </c>
      <c r="AB124" t="str">
        <f t="shared" si="15"/>
        <v>40.9051401182292,63.6501337918505</v>
      </c>
      <c r="AC124" t="str">
        <f t="shared" si="16"/>
        <v>52.9130588760396,61.1641129638205</v>
      </c>
    </row>
    <row r="125" spans="2:29" x14ac:dyDescent="0.2">
      <c r="B125" s="3">
        <v>123</v>
      </c>
      <c r="C125" s="6">
        <v>41.045454545454596</v>
      </c>
      <c r="D125" s="6">
        <v>62.0597014925373</v>
      </c>
      <c r="E125" s="8">
        <v>-1.5707963267949001</v>
      </c>
      <c r="F125" s="7"/>
      <c r="G125" s="10">
        <v>41.643719161145299</v>
      </c>
      <c r="H125" s="10">
        <v>64.272470857298103</v>
      </c>
      <c r="I125" s="10">
        <v>-1.73296332298653</v>
      </c>
      <c r="K125" s="10">
        <v>40.079344952844203</v>
      </c>
      <c r="L125" s="10">
        <v>64.128902389003898</v>
      </c>
      <c r="M125" s="10">
        <v>-1.73296332298653</v>
      </c>
      <c r="N125" s="13"/>
      <c r="O125" s="10">
        <v>52.047420659033698</v>
      </c>
      <c r="P125" s="10">
        <v>61.566390855398303</v>
      </c>
      <c r="Q125" s="10">
        <v>-1.49395221922764</v>
      </c>
      <c r="R125" s="13"/>
      <c r="S125" s="20">
        <v>-1.5707963267949001</v>
      </c>
      <c r="T125" s="13"/>
      <c r="U125" s="13">
        <f t="shared" si="9"/>
        <v>0</v>
      </c>
      <c r="V125" s="13">
        <f t="shared" si="10"/>
        <v>-9.2914844580944873</v>
      </c>
      <c r="W125" s="13">
        <f t="shared" si="17"/>
        <v>-9.2914844580944873</v>
      </c>
      <c r="X125" s="13">
        <f t="shared" si="12"/>
        <v>4.4028430440533173</v>
      </c>
      <c r="Z125" t="str">
        <f t="shared" si="13"/>
        <v>41.0454545454546,62.0597014925373</v>
      </c>
      <c r="AA125" t="str">
        <f t="shared" si="14"/>
        <v>41.6437191611453,64.2724708572981</v>
      </c>
      <c r="AB125" t="str">
        <f t="shared" si="15"/>
        <v>40.0793449528442,64.1289023890039</v>
      </c>
      <c r="AC125" t="str">
        <f t="shared" si="16"/>
        <v>52.0474206590337,61.5663908553983</v>
      </c>
    </row>
    <row r="126" spans="2:29" x14ac:dyDescent="0.2">
      <c r="B126" s="3">
        <v>124</v>
      </c>
      <c r="C126" s="6">
        <v>40.090909090909101</v>
      </c>
      <c r="D126" s="6">
        <v>62.0597014925373</v>
      </c>
      <c r="E126" s="8">
        <v>-1.5707963267949001</v>
      </c>
      <c r="F126" s="7"/>
      <c r="G126" s="10">
        <v>40.701697606653703</v>
      </c>
      <c r="H126" s="10">
        <v>64.426589044631001</v>
      </c>
      <c r="I126" s="10">
        <v>-1.73296332298653</v>
      </c>
      <c r="K126" s="10">
        <v>39.137323398352699</v>
      </c>
      <c r="L126" s="10">
        <v>64.283020576336796</v>
      </c>
      <c r="M126" s="10">
        <v>-1.6425551090847901</v>
      </c>
      <c r="N126" s="13"/>
      <c r="O126" s="10">
        <v>51.095692121422097</v>
      </c>
      <c r="P126" s="10">
        <v>61.493111830506102</v>
      </c>
      <c r="Q126" s="10">
        <v>-1.3570901086537801</v>
      </c>
      <c r="R126" s="13"/>
      <c r="S126" s="20">
        <v>-1.5707963267949001</v>
      </c>
      <c r="T126" s="13"/>
      <c r="U126" s="13">
        <f t="shared" si="9"/>
        <v>0</v>
      </c>
      <c r="V126" s="13">
        <f t="shared" si="10"/>
        <v>-9.2914844580944873</v>
      </c>
      <c r="W126" s="13">
        <f t="shared" si="17"/>
        <v>-4.1114753682088123</v>
      </c>
      <c r="X126" s="13">
        <f t="shared" si="12"/>
        <v>12.244464355188285</v>
      </c>
      <c r="Z126" t="str">
        <f t="shared" si="13"/>
        <v>40.0909090909091,62.0597014925373</v>
      </c>
      <c r="AA126" t="str">
        <f t="shared" si="14"/>
        <v>40.7016976066537,64.426589044631</v>
      </c>
      <c r="AB126" t="str">
        <f t="shared" si="15"/>
        <v>39.1373233983527,64.2830205763368</v>
      </c>
      <c r="AC126" t="str">
        <f t="shared" si="16"/>
        <v>51.0956921214221,61.4931118305061</v>
      </c>
    </row>
    <row r="127" spans="2:29" x14ac:dyDescent="0.2">
      <c r="B127" s="3">
        <v>125</v>
      </c>
      <c r="C127" s="6">
        <v>39.136363636363697</v>
      </c>
      <c r="D127" s="6">
        <v>62.0597014925373</v>
      </c>
      <c r="E127" s="8">
        <v>-1.5707963267949001</v>
      </c>
      <c r="F127" s="7"/>
      <c r="G127" s="10">
        <v>39.759676052162199</v>
      </c>
      <c r="H127" s="10">
        <v>64.5807072319638</v>
      </c>
      <c r="I127" s="10">
        <v>-1.6425551090847901</v>
      </c>
      <c r="K127" s="10">
        <v>38.185234520746903</v>
      </c>
      <c r="L127" s="10">
        <v>64.351458825384398</v>
      </c>
      <c r="M127" s="10">
        <v>-1.55625515783632</v>
      </c>
      <c r="N127" s="13"/>
      <c r="O127" s="10">
        <v>50.162861047267</v>
      </c>
      <c r="P127" s="10">
        <v>61.290668722735198</v>
      </c>
      <c r="Q127" s="10">
        <v>-1.2735927055568399</v>
      </c>
      <c r="R127" s="13"/>
      <c r="S127" s="20">
        <v>-1.5707963267949001</v>
      </c>
      <c r="T127" s="13"/>
      <c r="U127" s="13">
        <f t="shared" si="9"/>
        <v>0</v>
      </c>
      <c r="V127" s="13">
        <f t="shared" si="10"/>
        <v>-4.1114753682088123</v>
      </c>
      <c r="W127" s="13">
        <f t="shared" si="17"/>
        <v>0.83314761051328534</v>
      </c>
      <c r="X127" s="13">
        <f t="shared" si="12"/>
        <v>17.028513152945528</v>
      </c>
      <c r="Z127" t="str">
        <f t="shared" si="13"/>
        <v>39.1363636363637,62.0597014925373</v>
      </c>
      <c r="AA127" t="str">
        <f t="shared" si="14"/>
        <v>39.7596760521622,64.5807072319638</v>
      </c>
      <c r="AB127" t="str">
        <f t="shared" si="15"/>
        <v>38.1852345207469,64.3514588253844</v>
      </c>
      <c r="AC127" t="str">
        <f t="shared" si="16"/>
        <v>50.162861047267,61.2906687227352</v>
      </c>
    </row>
    <row r="128" spans="2:29" x14ac:dyDescent="0.2">
      <c r="B128" s="3">
        <v>126</v>
      </c>
      <c r="C128" s="6">
        <v>38.181818181818201</v>
      </c>
      <c r="D128" s="6">
        <v>62.0597014925373</v>
      </c>
      <c r="E128" s="8">
        <v>-1.5707963267949001</v>
      </c>
      <c r="F128" s="7"/>
      <c r="G128" s="10">
        <v>38.807587174556403</v>
      </c>
      <c r="H128" s="10">
        <v>64.649145481011402</v>
      </c>
      <c r="I128" s="10">
        <v>-1.55625515783632</v>
      </c>
      <c r="K128" s="10">
        <v>37.2307899816389</v>
      </c>
      <c r="L128" s="10">
        <v>64.337579107797396</v>
      </c>
      <c r="M128" s="10">
        <v>-1.59334188241539</v>
      </c>
      <c r="N128" s="13"/>
      <c r="O128" s="10">
        <v>49.250163687081503</v>
      </c>
      <c r="P128" s="10">
        <v>61.011132403978998</v>
      </c>
      <c r="Q128" s="10">
        <v>-1.3040149833313901</v>
      </c>
      <c r="R128" s="13"/>
      <c r="S128" s="20">
        <v>-1.5707963267949001</v>
      </c>
      <c r="T128" s="13"/>
      <c r="U128" s="13">
        <f t="shared" si="9"/>
        <v>0</v>
      </c>
      <c r="V128" s="13">
        <f t="shared" si="10"/>
        <v>0.83314761051328534</v>
      </c>
      <c r="W128" s="13">
        <f t="shared" si="17"/>
        <v>-1.2917651838315218</v>
      </c>
      <c r="X128" s="13">
        <f t="shared" si="12"/>
        <v>15.285445033289156</v>
      </c>
      <c r="Z128" t="str">
        <f t="shared" si="13"/>
        <v>38.1818181818182,62.0597014925373</v>
      </c>
      <c r="AA128" t="str">
        <f t="shared" si="14"/>
        <v>38.8075871745564,64.6491454810114</v>
      </c>
      <c r="AB128" t="str">
        <f t="shared" si="15"/>
        <v>37.2307899816389,64.3375791077974</v>
      </c>
      <c r="AC128" t="str">
        <f t="shared" si="16"/>
        <v>49.2501636870815,61.011132403979</v>
      </c>
    </row>
    <row r="129" spans="2:29" x14ac:dyDescent="0.2">
      <c r="B129" s="3">
        <v>127</v>
      </c>
      <c r="C129" s="6">
        <v>37.227272727272698</v>
      </c>
      <c r="D129" s="6">
        <v>62.0597014925373</v>
      </c>
      <c r="E129" s="8">
        <v>-1.5707963267949001</v>
      </c>
      <c r="F129" s="7"/>
      <c r="G129" s="10">
        <v>37.8531426354484</v>
      </c>
      <c r="H129" s="10">
        <v>64.6352657634244</v>
      </c>
      <c r="I129" s="10">
        <v>-1.59334188241539</v>
      </c>
      <c r="K129" s="10">
        <v>36.276487115536703</v>
      </c>
      <c r="L129" s="10">
        <v>64.359098042307195</v>
      </c>
      <c r="M129" s="10">
        <v>-1.54660658851327</v>
      </c>
      <c r="N129" s="13"/>
      <c r="O129" s="10">
        <v>48.329385832049503</v>
      </c>
      <c r="P129" s="10">
        <v>60.759487482559798</v>
      </c>
      <c r="Q129" s="10">
        <v>-1.2261152650328699</v>
      </c>
      <c r="R129" s="13"/>
      <c r="S129" s="20">
        <v>-1.5707963267949001</v>
      </c>
      <c r="T129" s="13"/>
      <c r="U129" s="13">
        <f t="shared" si="9"/>
        <v>0</v>
      </c>
      <c r="V129" s="13">
        <f t="shared" si="10"/>
        <v>-1.2917651838315218</v>
      </c>
      <c r="W129" s="13">
        <f t="shared" si="17"/>
        <v>1.3859699110634434</v>
      </c>
      <c r="X129" s="13">
        <f t="shared" si="12"/>
        <v>19.748770117052391</v>
      </c>
      <c r="Z129" t="str">
        <f t="shared" si="13"/>
        <v>37.2272727272727,62.0597014925373</v>
      </c>
      <c r="AA129" t="str">
        <f t="shared" si="14"/>
        <v>37.8531426354484,64.6352657634244</v>
      </c>
      <c r="AB129" t="str">
        <f t="shared" si="15"/>
        <v>36.2764871155367,64.3590980423072</v>
      </c>
      <c r="AC129" t="str">
        <f t="shared" si="16"/>
        <v>48.3293858320495,60.7594874825598</v>
      </c>
    </row>
    <row r="130" spans="2:29" x14ac:dyDescent="0.2">
      <c r="B130" s="3">
        <v>128</v>
      </c>
      <c r="C130" s="6">
        <v>36.272727272727302</v>
      </c>
      <c r="D130" s="6">
        <v>62.0597014925373</v>
      </c>
      <c r="E130" s="8">
        <v>-1.5707963267949001</v>
      </c>
      <c r="F130" s="7"/>
      <c r="G130" s="10">
        <v>36.898839769346203</v>
      </c>
      <c r="H130" s="10">
        <v>64.656784697934199</v>
      </c>
      <c r="I130" s="10">
        <v>-1.54660658851327</v>
      </c>
      <c r="K130" s="10">
        <v>35.322220920378101</v>
      </c>
      <c r="L130" s="10">
        <v>64.336010089364905</v>
      </c>
      <c r="M130" s="10">
        <v>-1.5823155896102901</v>
      </c>
      <c r="N130" s="13"/>
      <c r="O130" s="10">
        <v>47.430983621119601</v>
      </c>
      <c r="P130" s="10">
        <v>60.436949899959302</v>
      </c>
      <c r="Q130" s="10">
        <v>-1.2780787280021899</v>
      </c>
      <c r="R130" s="13"/>
      <c r="S130" s="20">
        <v>-1.5707963267949001</v>
      </c>
      <c r="T130" s="13"/>
      <c r="U130" s="13">
        <f t="shared" si="9"/>
        <v>0</v>
      </c>
      <c r="V130" s="13">
        <f t="shared" si="10"/>
        <v>1.3859699110634434</v>
      </c>
      <c r="W130" s="13">
        <f t="shared" si="17"/>
        <v>-0.66000514242383068</v>
      </c>
      <c r="X130" s="13">
        <f t="shared" si="12"/>
        <v>16.771483000026016</v>
      </c>
      <c r="Z130" t="str">
        <f t="shared" si="13"/>
        <v>36.2727272727273,62.0597014925373</v>
      </c>
      <c r="AA130" t="str">
        <f t="shared" si="14"/>
        <v>36.8988397693462,64.6567846979342</v>
      </c>
      <c r="AB130" t="str">
        <f t="shared" si="15"/>
        <v>35.3222209203781,64.3360100893649</v>
      </c>
      <c r="AC130" t="str">
        <f t="shared" si="16"/>
        <v>47.4309836211196,60.4369498999593</v>
      </c>
    </row>
    <row r="131" spans="2:29" x14ac:dyDescent="0.2">
      <c r="B131" s="3">
        <v>129</v>
      </c>
      <c r="C131" s="6">
        <v>35.318181818181799</v>
      </c>
      <c r="D131" s="6">
        <v>62.0597014925373</v>
      </c>
      <c r="E131" s="8">
        <v>-1.5707963267949001</v>
      </c>
      <c r="F131" s="7"/>
      <c r="G131" s="10">
        <v>35.944573574187601</v>
      </c>
      <c r="H131" s="10">
        <v>64.633696744991894</v>
      </c>
      <c r="I131" s="10">
        <v>-1.5823155896102901</v>
      </c>
      <c r="K131" s="10">
        <v>34.367738796080801</v>
      </c>
      <c r="L131" s="10">
        <v>64.347005506151405</v>
      </c>
      <c r="M131" s="10">
        <v>-1.5553346599209701</v>
      </c>
      <c r="N131" s="13"/>
      <c r="O131" s="10">
        <v>46.517041442666702</v>
      </c>
      <c r="P131" s="10">
        <v>60.161510761059098</v>
      </c>
      <c r="Q131" s="10">
        <v>-1.26773968639595</v>
      </c>
      <c r="R131" s="13"/>
      <c r="S131" s="20">
        <v>-1.5707963267949001</v>
      </c>
      <c r="T131" s="13"/>
      <c r="U131" s="13">
        <f t="shared" si="9"/>
        <v>0</v>
      </c>
      <c r="V131" s="13">
        <f t="shared" si="10"/>
        <v>-0.66000514242383068</v>
      </c>
      <c r="W131" s="13">
        <f t="shared" si="17"/>
        <v>0.88588825611342348</v>
      </c>
      <c r="X131" s="13">
        <f t="shared" si="12"/>
        <v>17.363866448273722</v>
      </c>
      <c r="Z131" t="str">
        <f t="shared" si="13"/>
        <v>35.3181818181818,62.0597014925373</v>
      </c>
      <c r="AA131" t="str">
        <f t="shared" si="14"/>
        <v>35.9445735741876,64.6336967449919</v>
      </c>
      <c r="AB131" t="str">
        <f t="shared" si="15"/>
        <v>34.3677387960808,64.3470055061514</v>
      </c>
      <c r="AC131" t="str">
        <f t="shared" si="16"/>
        <v>46.5170414426667,60.1615107610591</v>
      </c>
    </row>
    <row r="132" spans="2:29" x14ac:dyDescent="0.2">
      <c r="B132" s="3">
        <v>130</v>
      </c>
      <c r="C132" s="6">
        <v>34.363636363636402</v>
      </c>
      <c r="D132" s="6">
        <v>62.0597014925373</v>
      </c>
      <c r="E132" s="8">
        <v>-1.5707963267949001</v>
      </c>
      <c r="F132" s="7"/>
      <c r="G132" s="10">
        <v>34.990091449890301</v>
      </c>
      <c r="H132" s="10">
        <v>64.644692161778394</v>
      </c>
      <c r="I132" s="10">
        <v>-1.5553346599209701</v>
      </c>
      <c r="K132" s="10">
        <v>33.4133074375804</v>
      </c>
      <c r="L132" s="10">
        <v>64.332247230360196</v>
      </c>
      <c r="M132" s="10">
        <v>-1.5976832910712699</v>
      </c>
      <c r="N132" s="13"/>
      <c r="O132" s="10">
        <v>45.6059958380417</v>
      </c>
      <c r="P132" s="10">
        <v>59.876637225807201</v>
      </c>
      <c r="Q132" s="10">
        <v>-1.32340691396188</v>
      </c>
      <c r="R132" s="13"/>
      <c r="S132" s="20">
        <v>-1.5707963267949001</v>
      </c>
      <c r="T132" s="13"/>
      <c r="U132" s="13">
        <f t="shared" ref="U132:U195" si="23">E132-S132</f>
        <v>0</v>
      </c>
      <c r="V132" s="13">
        <f t="shared" ref="V132:V195" si="24">(I132-S132)*180/PI()</f>
        <v>0.88588825611342348</v>
      </c>
      <c r="W132" s="13">
        <f t="shared" ref="W132:W195" si="25">(M132-S132)*180/PI()</f>
        <v>-1.5405095769550068</v>
      </c>
      <c r="X132" s="13">
        <f t="shared" ref="X132:X195" si="26">(Q132-S132)*180/PI()</f>
        <v>14.174369251551617</v>
      </c>
      <c r="Z132" t="str">
        <f t="shared" ref="Z132:Z195" si="27">C132&amp;","&amp;D132</f>
        <v>34.3636363636364,62.0597014925373</v>
      </c>
      <c r="AA132" t="str">
        <f t="shared" ref="AA132:AA195" si="28">G132&amp;","&amp;H132</f>
        <v>34.9900914498903,64.6446921617784</v>
      </c>
      <c r="AB132" t="str">
        <f t="shared" ref="AB132:AB195" si="29">K132&amp;","&amp;L132</f>
        <v>33.4133074375804,64.3322472303602</v>
      </c>
      <c r="AC132" t="str">
        <f t="shared" ref="AC132:AC195" si="30">O132&amp;","&amp;P132</f>
        <v>45.6059958380417,59.8766372258072</v>
      </c>
    </row>
    <row r="133" spans="2:29" x14ac:dyDescent="0.2">
      <c r="B133" s="3">
        <v>131</v>
      </c>
      <c r="C133" s="6">
        <v>33.409090909090899</v>
      </c>
      <c r="D133" s="6">
        <v>62.0597014925373</v>
      </c>
      <c r="E133" s="8">
        <v>-1.5707963267949001</v>
      </c>
      <c r="F133" s="7"/>
      <c r="G133" s="10">
        <v>34.0356600913899</v>
      </c>
      <c r="H133" s="10">
        <v>64.629933885987199</v>
      </c>
      <c r="I133" s="10">
        <v>-1.5976832910712699</v>
      </c>
      <c r="K133" s="10">
        <v>32.459106986927701</v>
      </c>
      <c r="L133" s="10">
        <v>64.3579089677865</v>
      </c>
      <c r="M133" s="10">
        <v>-1.5758753681120801</v>
      </c>
      <c r="N133" s="13"/>
      <c r="O133" s="10">
        <v>44.680511530425903</v>
      </c>
      <c r="P133" s="10">
        <v>59.642894159278299</v>
      </c>
      <c r="Q133" s="10">
        <v>-1.2973088305168601</v>
      </c>
      <c r="R133" s="13"/>
      <c r="S133" s="20">
        <v>-1.5707963267949001</v>
      </c>
      <c r="T133" s="13"/>
      <c r="U133" s="13">
        <f t="shared" si="23"/>
        <v>0</v>
      </c>
      <c r="V133" s="13">
        <f t="shared" si="24"/>
        <v>-1.5405095769550068</v>
      </c>
      <c r="W133" s="13">
        <f t="shared" si="25"/>
        <v>-0.29100763144697794</v>
      </c>
      <c r="X133" s="13">
        <f t="shared" si="26"/>
        <v>15.669679286331503</v>
      </c>
      <c r="Z133" t="str">
        <f t="shared" si="27"/>
        <v>33.4090909090909,62.0597014925373</v>
      </c>
      <c r="AA133" t="str">
        <f t="shared" si="28"/>
        <v>34.0356600913899,64.6299338859872</v>
      </c>
      <c r="AB133" t="str">
        <f t="shared" si="29"/>
        <v>32.4591069869277,64.3579089677865</v>
      </c>
      <c r="AC133" t="str">
        <f t="shared" si="30"/>
        <v>44.6805115304259,59.6428941592783</v>
      </c>
    </row>
    <row r="134" spans="2:29" x14ac:dyDescent="0.2">
      <c r="B134" s="3">
        <v>132</v>
      </c>
      <c r="C134" s="6">
        <v>32.454545454545503</v>
      </c>
      <c r="D134" s="6">
        <v>62.0597014925373</v>
      </c>
      <c r="E134" s="8">
        <v>-1.5707963267949001</v>
      </c>
      <c r="F134" s="7"/>
      <c r="G134" s="10">
        <v>33.081459640737201</v>
      </c>
      <c r="H134" s="10">
        <v>64.655595623413504</v>
      </c>
      <c r="I134" s="10">
        <v>-1.5758753681120801</v>
      </c>
      <c r="K134" s="10">
        <v>31.504573844398401</v>
      </c>
      <c r="L134" s="10">
        <v>64.362757122744796</v>
      </c>
      <c r="M134" s="10">
        <v>-1.5625300044807999</v>
      </c>
      <c r="N134" s="13"/>
      <c r="O134" s="10">
        <v>43.761441936799798</v>
      </c>
      <c r="P134" s="10">
        <v>59.385080065665797</v>
      </c>
      <c r="Q134" s="10">
        <v>-1.2815571325541899</v>
      </c>
      <c r="R134" s="13"/>
      <c r="S134" s="20">
        <v>-1.5707963267949001</v>
      </c>
      <c r="T134" s="13"/>
      <c r="U134" s="13">
        <f t="shared" si="23"/>
        <v>0</v>
      </c>
      <c r="V134" s="13">
        <f t="shared" si="24"/>
        <v>-0.29100763144697794</v>
      </c>
      <c r="W134" s="13">
        <f t="shared" si="25"/>
        <v>0.4736253806927565</v>
      </c>
      <c r="X134" s="13">
        <f t="shared" si="26"/>
        <v>16.572185099757323</v>
      </c>
      <c r="Z134" t="str">
        <f t="shared" si="27"/>
        <v>32.4545454545455,62.0597014925373</v>
      </c>
      <c r="AA134" t="str">
        <f t="shared" si="28"/>
        <v>33.0814596407372,64.6555956234135</v>
      </c>
      <c r="AB134" t="str">
        <f t="shared" si="29"/>
        <v>31.5045738443984,64.3627571227448</v>
      </c>
      <c r="AC134" t="str">
        <f t="shared" si="30"/>
        <v>43.7614419367998,59.3850800656658</v>
      </c>
    </row>
    <row r="135" spans="2:29" x14ac:dyDescent="0.2">
      <c r="B135" s="3">
        <v>133</v>
      </c>
      <c r="C135" s="6">
        <v>31.5</v>
      </c>
      <c r="D135" s="6">
        <v>62.0597014925373</v>
      </c>
      <c r="E135" s="8">
        <v>-1.5707963267949001</v>
      </c>
      <c r="F135" s="7"/>
      <c r="G135" s="10">
        <v>32.126926498207901</v>
      </c>
      <c r="H135" s="10">
        <v>64.6604437783718</v>
      </c>
      <c r="I135" s="10">
        <v>-1.5625300044807999</v>
      </c>
      <c r="K135" s="10">
        <v>30.550061002707601</v>
      </c>
      <c r="L135" s="10">
        <v>64.354866632217096</v>
      </c>
      <c r="M135" s="10">
        <v>-1.5668580087777699</v>
      </c>
      <c r="N135" s="13"/>
      <c r="O135" s="10">
        <v>42.846547200548201</v>
      </c>
      <c r="P135" s="10">
        <v>59.112821647297103</v>
      </c>
      <c r="Q135" s="10">
        <v>-1.27667843719167</v>
      </c>
      <c r="R135" s="13"/>
      <c r="S135" s="20">
        <v>-1.5707963267949001</v>
      </c>
      <c r="T135" s="13"/>
      <c r="U135" s="13">
        <f t="shared" si="23"/>
        <v>0</v>
      </c>
      <c r="V135" s="13">
        <f t="shared" si="24"/>
        <v>0.4736253806927565</v>
      </c>
      <c r="W135" s="13">
        <f t="shared" si="25"/>
        <v>0.22564900076189051</v>
      </c>
      <c r="X135" s="13">
        <f t="shared" si="26"/>
        <v>16.851713753559764</v>
      </c>
      <c r="Z135" t="str">
        <f t="shared" si="27"/>
        <v>31.5,62.0597014925373</v>
      </c>
      <c r="AA135" t="str">
        <f t="shared" si="28"/>
        <v>32.1269264982079,64.6604437783718</v>
      </c>
      <c r="AB135" t="str">
        <f t="shared" si="29"/>
        <v>30.5500610027076,64.3548666322171</v>
      </c>
      <c r="AC135" t="str">
        <f t="shared" si="30"/>
        <v>42.8465472005482,59.1128216472971</v>
      </c>
    </row>
    <row r="136" spans="2:29" x14ac:dyDescent="0.2">
      <c r="B136" s="3">
        <v>134</v>
      </c>
      <c r="C136" s="6">
        <v>30.5454545454546</v>
      </c>
      <c r="D136" s="6">
        <v>62.0597014925373</v>
      </c>
      <c r="E136" s="8">
        <v>-1.5707963267949001</v>
      </c>
      <c r="F136" s="7"/>
      <c r="G136" s="10">
        <v>31.172413656517101</v>
      </c>
      <c r="H136" s="10">
        <v>64.6525532878441</v>
      </c>
      <c r="I136" s="10">
        <v>-1.5668580087777699</v>
      </c>
      <c r="K136" s="10">
        <v>29.595522950819099</v>
      </c>
      <c r="L136" s="10">
        <v>64.351107338373296</v>
      </c>
      <c r="M136" s="10">
        <v>-1.5948181897892899</v>
      </c>
      <c r="N136" s="13"/>
      <c r="O136" s="10">
        <v>41.932991612899599</v>
      </c>
      <c r="P136" s="10">
        <v>58.836102994023797</v>
      </c>
      <c r="Q136" s="10">
        <v>-1.3208126911739599</v>
      </c>
      <c r="R136" s="13"/>
      <c r="S136" s="20">
        <v>-1.5707963267949001</v>
      </c>
      <c r="T136" s="13"/>
      <c r="U136" s="13">
        <f t="shared" si="23"/>
        <v>0</v>
      </c>
      <c r="V136" s="13">
        <f t="shared" si="24"/>
        <v>0.22564900076189051</v>
      </c>
      <c r="W136" s="13">
        <f t="shared" si="25"/>
        <v>-1.3763513656200295</v>
      </c>
      <c r="X136" s="13">
        <f t="shared" si="26"/>
        <v>14.323007268416099</v>
      </c>
      <c r="Z136" t="str">
        <f t="shared" si="27"/>
        <v>30.5454545454546,62.0597014925373</v>
      </c>
      <c r="AA136" t="str">
        <f t="shared" si="28"/>
        <v>31.1724136565171,64.6525532878441</v>
      </c>
      <c r="AB136" t="str">
        <f t="shared" si="29"/>
        <v>29.5955229508191,64.3511073383733</v>
      </c>
      <c r="AC136" t="str">
        <f t="shared" si="30"/>
        <v>41.9329916128996,58.8361029940238</v>
      </c>
    </row>
    <row r="137" spans="2:29" x14ac:dyDescent="0.2">
      <c r="B137" s="3">
        <v>135</v>
      </c>
      <c r="C137" s="6">
        <v>29.590909090909101</v>
      </c>
      <c r="D137" s="6">
        <v>62.0597014925373</v>
      </c>
      <c r="E137" s="8">
        <v>-1.5707963267949001</v>
      </c>
      <c r="F137" s="7"/>
      <c r="G137" s="10">
        <v>30.217875604628599</v>
      </c>
      <c r="H137" s="10">
        <v>64.6487939940003</v>
      </c>
      <c r="I137" s="10">
        <v>-1.5948181897892899</v>
      </c>
      <c r="K137" s="10">
        <v>28.641252893210499</v>
      </c>
      <c r="L137" s="10">
        <v>64.374035093279403</v>
      </c>
      <c r="M137" s="10">
        <v>-1.57095515183805</v>
      </c>
      <c r="N137" s="13"/>
      <c r="O137" s="10">
        <v>41.0081168004426</v>
      </c>
      <c r="P137" s="10">
        <v>58.599959804251199</v>
      </c>
      <c r="Q137" s="10">
        <v>-1.30038307999787</v>
      </c>
      <c r="R137" s="13"/>
      <c r="S137" s="20">
        <v>-1.5707963267949001</v>
      </c>
      <c r="T137" s="13"/>
      <c r="U137" s="13">
        <f t="shared" si="23"/>
        <v>0</v>
      </c>
      <c r="V137" s="13">
        <f t="shared" si="24"/>
        <v>-1.3763513656200295</v>
      </c>
      <c r="W137" s="13">
        <f t="shared" si="25"/>
        <v>-9.1000046534725505E-3</v>
      </c>
      <c r="X137" s="13">
        <f t="shared" si="26"/>
        <v>15.493537765899354</v>
      </c>
      <c r="Z137" t="str">
        <f t="shared" si="27"/>
        <v>29.5909090909091,62.0597014925373</v>
      </c>
      <c r="AA137" t="str">
        <f t="shared" si="28"/>
        <v>30.2178756046286,64.6487939940003</v>
      </c>
      <c r="AB137" t="str">
        <f t="shared" si="29"/>
        <v>28.6412528932105,64.3740350932794</v>
      </c>
      <c r="AC137" t="str">
        <f t="shared" si="30"/>
        <v>41.0081168004426,58.5999598042512</v>
      </c>
    </row>
    <row r="138" spans="2:29" x14ac:dyDescent="0.2">
      <c r="B138" s="3">
        <v>136</v>
      </c>
      <c r="C138" s="6">
        <v>28.636363636363701</v>
      </c>
      <c r="D138" s="6">
        <v>62.0597014925373</v>
      </c>
      <c r="E138" s="8">
        <v>-1.5707963267949001</v>
      </c>
      <c r="F138" s="7"/>
      <c r="G138" s="10">
        <v>29.263605547019999</v>
      </c>
      <c r="H138" s="10">
        <v>64.671721748906407</v>
      </c>
      <c r="I138" s="10">
        <v>-1.57095515183805</v>
      </c>
      <c r="K138" s="10">
        <v>27.6867074507044</v>
      </c>
      <c r="L138" s="10">
        <v>64.374186699001697</v>
      </c>
      <c r="M138" s="10">
        <v>-1.5291480808592799</v>
      </c>
      <c r="N138" s="13"/>
      <c r="O138" s="10">
        <v>40.088258966285899</v>
      </c>
      <c r="P138" s="10">
        <v>58.344972373710199</v>
      </c>
      <c r="Q138" s="10">
        <v>-1.23242436411965</v>
      </c>
      <c r="R138" s="13"/>
      <c r="S138" s="20">
        <v>-1.5707963267949001</v>
      </c>
      <c r="T138" s="13"/>
      <c r="U138" s="13">
        <f t="shared" si="23"/>
        <v>0</v>
      </c>
      <c r="V138" s="13">
        <f t="shared" si="24"/>
        <v>-9.1000046534725505E-3</v>
      </c>
      <c r="W138" s="13">
        <f t="shared" si="25"/>
        <v>2.3862687162339231</v>
      </c>
      <c r="X138" s="13">
        <f t="shared" si="26"/>
        <v>19.387285366850055</v>
      </c>
      <c r="Z138" t="str">
        <f t="shared" si="27"/>
        <v>28.6363636363637,62.0597014925373</v>
      </c>
      <c r="AA138" t="str">
        <f t="shared" si="28"/>
        <v>29.26360554702,64.6717217489064</v>
      </c>
      <c r="AB138" t="str">
        <f t="shared" si="29"/>
        <v>27.6867074507044,64.3741866990017</v>
      </c>
      <c r="AC138" t="str">
        <f t="shared" si="30"/>
        <v>40.0882589662859,58.3449723737102</v>
      </c>
    </row>
    <row r="139" spans="2:29" x14ac:dyDescent="0.2">
      <c r="B139" s="3">
        <v>137</v>
      </c>
      <c r="C139" s="6">
        <v>27.681818181818201</v>
      </c>
      <c r="D139" s="6">
        <v>62.0597014925373</v>
      </c>
      <c r="E139" s="8">
        <v>-1.5707963267949001</v>
      </c>
      <c r="F139" s="7"/>
      <c r="G139" s="10">
        <v>28.3090601045139</v>
      </c>
      <c r="H139" s="10">
        <v>64.671873354628801</v>
      </c>
      <c r="I139" s="10">
        <v>-1.5291480808592799</v>
      </c>
      <c r="K139" s="10">
        <v>26.732989742503602</v>
      </c>
      <c r="L139" s="10">
        <v>64.334443047213</v>
      </c>
      <c r="M139" s="10">
        <v>-1.56471162469714</v>
      </c>
      <c r="N139" s="13"/>
      <c r="O139" s="10">
        <v>39.187839727558099</v>
      </c>
      <c r="P139" s="10">
        <v>58.028109281314997</v>
      </c>
      <c r="Q139" s="10">
        <v>-1.2741407302865599</v>
      </c>
      <c r="R139" s="13"/>
      <c r="S139" s="20">
        <v>-1.5707963267949001</v>
      </c>
      <c r="T139" s="13"/>
      <c r="U139" s="13">
        <f t="shared" si="23"/>
        <v>0</v>
      </c>
      <c r="V139" s="13">
        <f t="shared" si="24"/>
        <v>2.3862687162339231</v>
      </c>
      <c r="W139" s="13">
        <f t="shared" si="25"/>
        <v>0.34862774979605393</v>
      </c>
      <c r="X139" s="13">
        <f t="shared" si="26"/>
        <v>16.997113648863774</v>
      </c>
      <c r="Z139" t="str">
        <f t="shared" si="27"/>
        <v>27.6818181818182,62.0597014925373</v>
      </c>
      <c r="AA139" t="str">
        <f t="shared" si="28"/>
        <v>28.3090601045139,64.6718733546288</v>
      </c>
      <c r="AB139" t="str">
        <f t="shared" si="29"/>
        <v>26.7329897425036,64.334443047213</v>
      </c>
      <c r="AC139" t="str">
        <f t="shared" si="30"/>
        <v>39.1878397275581,58.028109281315</v>
      </c>
    </row>
    <row r="140" spans="2:29" x14ac:dyDescent="0.2">
      <c r="B140" s="3">
        <v>138</v>
      </c>
      <c r="C140" s="6">
        <v>26.727272727272801</v>
      </c>
      <c r="D140" s="6">
        <v>62.0597014925373</v>
      </c>
      <c r="E140" s="8">
        <v>-1.5707963267949001</v>
      </c>
      <c r="F140" s="7"/>
      <c r="G140" s="10">
        <v>27.355342396313102</v>
      </c>
      <c r="H140" s="10">
        <v>64.632129702840004</v>
      </c>
      <c r="I140" s="10">
        <v>-1.56471162469714</v>
      </c>
      <c r="K140" s="10">
        <v>25.778461958257999</v>
      </c>
      <c r="L140" s="10">
        <v>64.328634958322894</v>
      </c>
      <c r="M140" s="10">
        <v>-1.5609850850645699</v>
      </c>
      <c r="N140" s="13"/>
      <c r="O140" s="10">
        <v>38.274989311620402</v>
      </c>
      <c r="P140" s="10">
        <v>57.7490731852346</v>
      </c>
      <c r="Q140" s="10">
        <v>-1.2757555483441401</v>
      </c>
      <c r="R140" s="13"/>
      <c r="S140" s="20">
        <v>-1.5707963267949001</v>
      </c>
      <c r="T140" s="13"/>
      <c r="U140" s="13">
        <f t="shared" si="23"/>
        <v>0</v>
      </c>
      <c r="V140" s="13">
        <f t="shared" si="24"/>
        <v>0.34862774979605393</v>
      </c>
      <c r="W140" s="13">
        <f t="shared" si="25"/>
        <v>0.56214274293055211</v>
      </c>
      <c r="X140" s="13">
        <f t="shared" si="26"/>
        <v>16.904591389482917</v>
      </c>
      <c r="Z140" t="str">
        <f t="shared" si="27"/>
        <v>26.7272727272728,62.0597014925373</v>
      </c>
      <c r="AA140" t="str">
        <f t="shared" si="28"/>
        <v>27.3553423963131,64.63212970284</v>
      </c>
      <c r="AB140" t="str">
        <f t="shared" si="29"/>
        <v>25.778461958258,64.3286349583229</v>
      </c>
      <c r="AC140" t="str">
        <f t="shared" si="30"/>
        <v>38.2749893116204,57.7490731852346</v>
      </c>
    </row>
    <row r="141" spans="2:29" x14ac:dyDescent="0.2">
      <c r="B141" s="3">
        <v>139</v>
      </c>
      <c r="C141" s="6">
        <v>25.772727272727298</v>
      </c>
      <c r="D141" s="6">
        <v>62.0597014925373</v>
      </c>
      <c r="E141" s="8">
        <v>-1.5707963267949001</v>
      </c>
      <c r="F141" s="7"/>
      <c r="G141" s="10">
        <v>26.400814612067499</v>
      </c>
      <c r="H141" s="10">
        <v>64.626321613949898</v>
      </c>
      <c r="I141" s="10">
        <v>-1.5609850850645699</v>
      </c>
      <c r="K141" s="10">
        <v>24.823962445838301</v>
      </c>
      <c r="L141" s="10">
        <v>64.319269832375994</v>
      </c>
      <c r="M141" s="10">
        <v>-1.5735046900576599</v>
      </c>
      <c r="N141" s="13"/>
      <c r="O141" s="10">
        <v>37.361689493543103</v>
      </c>
      <c r="P141" s="10">
        <v>57.4715115396614</v>
      </c>
      <c r="Q141" s="10">
        <v>-1.29104543526313</v>
      </c>
      <c r="R141" s="13"/>
      <c r="S141" s="20">
        <v>-1.5707963267949001</v>
      </c>
      <c r="T141" s="13"/>
      <c r="U141" s="13">
        <f t="shared" si="23"/>
        <v>0</v>
      </c>
      <c r="V141" s="13">
        <f t="shared" si="24"/>
        <v>0.56214274293055211</v>
      </c>
      <c r="W141" s="13">
        <f t="shared" si="25"/>
        <v>-0.15517778434441806</v>
      </c>
      <c r="X141" s="13">
        <f t="shared" si="26"/>
        <v>16.02854539979251</v>
      </c>
      <c r="Z141" t="str">
        <f t="shared" si="27"/>
        <v>25.7727272727273,62.0597014925373</v>
      </c>
      <c r="AA141" t="str">
        <f t="shared" si="28"/>
        <v>26.4008146120675,64.6263216139499</v>
      </c>
      <c r="AB141" t="str">
        <f t="shared" si="29"/>
        <v>24.8239624458383,64.319269832376</v>
      </c>
      <c r="AC141" t="str">
        <f t="shared" si="30"/>
        <v>37.3616894935431,57.4715115396614</v>
      </c>
    </row>
    <row r="142" spans="2:29" x14ac:dyDescent="0.2">
      <c r="B142" s="3">
        <v>140</v>
      </c>
      <c r="C142" s="6">
        <v>24.818181818181898</v>
      </c>
      <c r="D142" s="6">
        <v>62.0597014925373</v>
      </c>
      <c r="E142" s="8">
        <v>-1.5707963267949001</v>
      </c>
      <c r="F142" s="7"/>
      <c r="G142" s="10">
        <v>25.446315099647801</v>
      </c>
      <c r="H142" s="10">
        <v>64.616956488002998</v>
      </c>
      <c r="I142" s="10">
        <v>-1.5735046900576599</v>
      </c>
      <c r="K142" s="10">
        <v>23.869420492196699</v>
      </c>
      <c r="L142" s="10">
        <v>64.321855085057194</v>
      </c>
      <c r="M142" s="10">
        <v>-1.5555730128112899</v>
      </c>
      <c r="N142" s="13"/>
      <c r="O142" s="10">
        <v>36.444252708475503</v>
      </c>
      <c r="P142" s="10">
        <v>57.207946044578598</v>
      </c>
      <c r="Q142" s="10">
        <v>-1.2638487388627599</v>
      </c>
      <c r="R142" s="13"/>
      <c r="S142" s="20">
        <v>-1.5707963267949001</v>
      </c>
      <c r="T142" s="13"/>
      <c r="U142" s="13">
        <f t="shared" si="23"/>
        <v>0</v>
      </c>
      <c r="V142" s="13">
        <f t="shared" si="24"/>
        <v>-0.15517778434441806</v>
      </c>
      <c r="W142" s="13">
        <f t="shared" si="25"/>
        <v>0.87223164146335352</v>
      </c>
      <c r="X142" s="13">
        <f t="shared" si="26"/>
        <v>17.58680132023235</v>
      </c>
      <c r="Z142" t="str">
        <f t="shared" si="27"/>
        <v>24.8181818181819,62.0597014925373</v>
      </c>
      <c r="AA142" t="str">
        <f t="shared" si="28"/>
        <v>25.4463150996478,64.616956488003</v>
      </c>
      <c r="AB142" t="str">
        <f t="shared" si="29"/>
        <v>23.8694204921967,64.3218550850572</v>
      </c>
      <c r="AC142" t="str">
        <f t="shared" si="30"/>
        <v>36.4442527084755,57.2079460445786</v>
      </c>
    </row>
    <row r="143" spans="2:29" x14ac:dyDescent="0.2">
      <c r="B143" s="3">
        <v>141</v>
      </c>
      <c r="C143" s="6">
        <v>23.863636363636399</v>
      </c>
      <c r="D143" s="6">
        <v>62.0597014925373</v>
      </c>
      <c r="E143" s="8">
        <v>-1.5707963267949001</v>
      </c>
      <c r="F143" s="7"/>
      <c r="G143" s="10">
        <v>24.491773146006199</v>
      </c>
      <c r="H143" s="10">
        <v>64.619541740684198</v>
      </c>
      <c r="I143" s="10">
        <v>-1.5555730128112899</v>
      </c>
      <c r="K143" s="10">
        <v>22.914985643130201</v>
      </c>
      <c r="L143" s="10">
        <v>64.307324301156001</v>
      </c>
      <c r="M143" s="10">
        <v>-1.5257844006649901</v>
      </c>
      <c r="N143" s="13"/>
      <c r="O143" s="10">
        <v>35.534322425399303</v>
      </c>
      <c r="P143" s="10">
        <v>56.919529844038102</v>
      </c>
      <c r="Q143" s="10">
        <v>-1.2165478030012</v>
      </c>
      <c r="R143" s="13"/>
      <c r="S143" s="20">
        <v>-1.5707963267949001</v>
      </c>
      <c r="T143" s="13"/>
      <c r="U143" s="13">
        <f t="shared" si="23"/>
        <v>0</v>
      </c>
      <c r="V143" s="13">
        <f t="shared" si="24"/>
        <v>0.87223164146335352</v>
      </c>
      <c r="W143" s="13">
        <f t="shared" si="25"/>
        <v>2.5789933949984731</v>
      </c>
      <c r="X143" s="13">
        <f t="shared" si="26"/>
        <v>20.296945312118737</v>
      </c>
      <c r="Z143" t="str">
        <f t="shared" si="27"/>
        <v>23.8636363636364,62.0597014925373</v>
      </c>
      <c r="AA143" t="str">
        <f t="shared" si="28"/>
        <v>24.4917731460062,64.6195417406842</v>
      </c>
      <c r="AB143" t="str">
        <f t="shared" si="29"/>
        <v>22.9149856431302,64.307324301156</v>
      </c>
      <c r="AC143" t="str">
        <f t="shared" si="30"/>
        <v>35.5343224253993,56.9195298440381</v>
      </c>
    </row>
    <row r="144" spans="2:29" x14ac:dyDescent="0.2">
      <c r="B144" s="3">
        <v>142</v>
      </c>
      <c r="C144" s="6">
        <v>22.909090909090899</v>
      </c>
      <c r="D144" s="6">
        <v>62.0597014925373</v>
      </c>
      <c r="E144" s="8">
        <v>-1.5707963267949001</v>
      </c>
      <c r="F144" s="7"/>
      <c r="G144" s="10">
        <v>23.537338296939701</v>
      </c>
      <c r="H144" s="10">
        <v>64.605010956783005</v>
      </c>
      <c r="I144" s="10">
        <v>-1.5257844006649901</v>
      </c>
      <c r="K144" s="10">
        <v>21.961407014951799</v>
      </c>
      <c r="L144" s="10">
        <v>64.264372878887102</v>
      </c>
      <c r="M144" s="10">
        <v>-1.51342648374615</v>
      </c>
      <c r="N144" s="13"/>
      <c r="O144" s="10">
        <v>34.639047151373703</v>
      </c>
      <c r="P144" s="10">
        <v>56.588411725367799</v>
      </c>
      <c r="Q144" s="10">
        <v>-1.17973004935612</v>
      </c>
      <c r="R144" s="13"/>
      <c r="S144" s="20">
        <v>-1.5707963267949001</v>
      </c>
      <c r="T144" s="13"/>
      <c r="U144" s="13">
        <f t="shared" si="23"/>
        <v>0</v>
      </c>
      <c r="V144" s="13">
        <f t="shared" si="24"/>
        <v>2.5789933949984731</v>
      </c>
      <c r="W144" s="13">
        <f t="shared" si="25"/>
        <v>3.2870498780213273</v>
      </c>
      <c r="X144" s="13">
        <f t="shared" si="26"/>
        <v>22.406447207134221</v>
      </c>
      <c r="Z144" t="str">
        <f t="shared" si="27"/>
        <v>22.9090909090909,62.0597014925373</v>
      </c>
      <c r="AA144" t="str">
        <f t="shared" si="28"/>
        <v>23.5373382969397,64.605010956783</v>
      </c>
      <c r="AB144" t="str">
        <f t="shared" si="29"/>
        <v>21.9614070149518,64.2643728788871</v>
      </c>
      <c r="AC144" t="str">
        <f t="shared" si="30"/>
        <v>34.6390471513737,56.5884117253678</v>
      </c>
    </row>
    <row r="145" spans="2:29" x14ac:dyDescent="0.2">
      <c r="B145" s="3">
        <v>143</v>
      </c>
      <c r="C145" s="6">
        <v>21.954545454545499</v>
      </c>
      <c r="D145" s="6">
        <v>62.0597014925373</v>
      </c>
      <c r="E145" s="8">
        <v>-1.5707963267949001</v>
      </c>
      <c r="F145" s="7"/>
      <c r="G145" s="10">
        <v>22.583759668761299</v>
      </c>
      <c r="H145" s="10">
        <v>64.562059534514106</v>
      </c>
      <c r="I145" s="10">
        <v>-1.51342648374615</v>
      </c>
      <c r="K145" s="10">
        <v>21.008431976807898</v>
      </c>
      <c r="L145" s="10">
        <v>64.209640790786196</v>
      </c>
      <c r="M145" s="10">
        <v>-1.4686034558016201</v>
      </c>
      <c r="N145" s="13"/>
      <c r="O145" s="10">
        <v>33.756566873910998</v>
      </c>
      <c r="P145" s="10">
        <v>56.224563426371198</v>
      </c>
      <c r="Q145" s="10">
        <v>-1.1051198305385499</v>
      </c>
      <c r="R145" s="13"/>
      <c r="S145" s="20">
        <v>-1.5707963267949001</v>
      </c>
      <c r="T145" s="13"/>
      <c r="U145" s="13">
        <f t="shared" si="23"/>
        <v>0</v>
      </c>
      <c r="V145" s="13">
        <f t="shared" si="24"/>
        <v>3.2870498780213273</v>
      </c>
      <c r="W145" s="13">
        <f t="shared" si="25"/>
        <v>5.8552202042398367</v>
      </c>
      <c r="X145" s="13">
        <f t="shared" si="26"/>
        <v>26.681297853928548</v>
      </c>
      <c r="Z145" t="str">
        <f t="shared" si="27"/>
        <v>21.9545454545455,62.0597014925373</v>
      </c>
      <c r="AA145" t="str">
        <f t="shared" si="28"/>
        <v>22.5837596687613,64.5620595345141</v>
      </c>
      <c r="AB145" t="str">
        <f t="shared" si="29"/>
        <v>21.0084319768079,64.2096407907862</v>
      </c>
      <c r="AC145" t="str">
        <f t="shared" si="30"/>
        <v>33.756566873911,56.2245634263712</v>
      </c>
    </row>
    <row r="146" spans="2:29" x14ac:dyDescent="0.2">
      <c r="B146" s="3">
        <v>144</v>
      </c>
      <c r="C146" s="6">
        <v>21</v>
      </c>
      <c r="D146" s="6">
        <v>62.0597014925373</v>
      </c>
      <c r="E146" s="8">
        <v>-1.5707963267949001</v>
      </c>
      <c r="F146" s="7"/>
      <c r="G146" s="10">
        <v>21.630784630617399</v>
      </c>
      <c r="H146" s="10">
        <v>64.507327446413299</v>
      </c>
      <c r="I146" s="10">
        <v>-1.4686034558016201</v>
      </c>
      <c r="K146" s="10">
        <v>20.0588665278196</v>
      </c>
      <c r="L146" s="10">
        <v>64.112262749723797</v>
      </c>
      <c r="M146" s="10">
        <v>-1.5412606037246801</v>
      </c>
      <c r="N146" s="13"/>
      <c r="O146" s="10">
        <v>32.903663323916597</v>
      </c>
      <c r="P146" s="10">
        <v>55.795946395444503</v>
      </c>
      <c r="Q146" s="10">
        <v>-1.2389045333284101</v>
      </c>
      <c r="R146" s="13"/>
      <c r="S146" s="20">
        <v>-1.5707963267949001</v>
      </c>
      <c r="T146" s="13"/>
      <c r="U146" s="13">
        <f t="shared" si="23"/>
        <v>0</v>
      </c>
      <c r="V146" s="13">
        <f t="shared" si="24"/>
        <v>5.8552202042398367</v>
      </c>
      <c r="W146" s="13">
        <f t="shared" si="25"/>
        <v>1.6922722767907845</v>
      </c>
      <c r="X146" s="13">
        <f t="shared" si="26"/>
        <v>19.015999020657468</v>
      </c>
      <c r="Z146" t="str">
        <f t="shared" si="27"/>
        <v>21,62.0597014925373</v>
      </c>
      <c r="AA146" t="str">
        <f t="shared" si="28"/>
        <v>21.6307846306174,64.5073274464133</v>
      </c>
      <c r="AB146" t="str">
        <f t="shared" si="29"/>
        <v>20.0588665278196,64.1122627497238</v>
      </c>
      <c r="AC146" t="str">
        <f t="shared" si="30"/>
        <v>32.9036633239166,55.7959463954445</v>
      </c>
    </row>
    <row r="147" spans="2:29" x14ac:dyDescent="0.2">
      <c r="B147" s="3">
        <v>145</v>
      </c>
      <c r="C147" s="6">
        <v>20.0454545454546</v>
      </c>
      <c r="D147" s="6">
        <v>62.0597014925373</v>
      </c>
      <c r="E147" s="8">
        <v>-1.5707963267949001</v>
      </c>
      <c r="F147" s="7"/>
      <c r="G147" s="10">
        <v>20.6812191816291</v>
      </c>
      <c r="H147" s="10">
        <v>64.409949405350801</v>
      </c>
      <c r="I147" s="10">
        <v>-1.5412606037246801</v>
      </c>
      <c r="K147" s="10">
        <v>19.104737396136802</v>
      </c>
      <c r="L147" s="10">
        <v>64.084073658438498</v>
      </c>
      <c r="M147" s="10">
        <v>-1.51792119422266</v>
      </c>
      <c r="N147" s="13"/>
      <c r="O147" s="10">
        <v>32.001209678507998</v>
      </c>
      <c r="P147" s="10">
        <v>55.484924784166402</v>
      </c>
      <c r="Q147" s="10">
        <v>-1.2180943833768501</v>
      </c>
      <c r="R147" s="13"/>
      <c r="S147" s="20">
        <v>-1.5707963267949001</v>
      </c>
      <c r="T147" s="13"/>
      <c r="U147" s="13">
        <f t="shared" si="23"/>
        <v>0</v>
      </c>
      <c r="V147" s="13">
        <f t="shared" si="24"/>
        <v>1.6922722767907845</v>
      </c>
      <c r="W147" s="13">
        <f t="shared" si="25"/>
        <v>3.029521937584065</v>
      </c>
      <c r="X147" s="13">
        <f t="shared" si="26"/>
        <v>20.208332783916234</v>
      </c>
      <c r="Z147" t="str">
        <f t="shared" si="27"/>
        <v>20.0454545454546,62.0597014925373</v>
      </c>
      <c r="AA147" t="str">
        <f t="shared" si="28"/>
        <v>20.6812191816291,64.4099494053508</v>
      </c>
      <c r="AB147" t="str">
        <f t="shared" si="29"/>
        <v>19.1047373961368,64.0840736584385</v>
      </c>
      <c r="AC147" t="str">
        <f t="shared" si="30"/>
        <v>32.001209678508,55.4849247841664</v>
      </c>
    </row>
    <row r="148" spans="2:29" x14ac:dyDescent="0.2">
      <c r="B148" s="3">
        <v>146</v>
      </c>
      <c r="C148" s="6">
        <v>19.090909090909101</v>
      </c>
      <c r="D148" s="6">
        <v>62.0597014925373</v>
      </c>
      <c r="E148" s="8">
        <v>-1.5707963267949001</v>
      </c>
      <c r="F148" s="7"/>
      <c r="G148" s="10">
        <v>19.727090049946302</v>
      </c>
      <c r="H148" s="10">
        <v>64.381760314065602</v>
      </c>
      <c r="I148" s="10">
        <v>-1.51792119422266</v>
      </c>
      <c r="K148" s="10">
        <v>18.151525980117199</v>
      </c>
      <c r="L148" s="10">
        <v>64.033625455662602</v>
      </c>
      <c r="M148" s="10">
        <v>-1.56942959809853</v>
      </c>
      <c r="N148" s="13"/>
      <c r="O148" s="10">
        <v>31.105423374611298</v>
      </c>
      <c r="P148" s="10">
        <v>55.155191676116203</v>
      </c>
      <c r="Q148" s="10">
        <v>-1.2907853683278501</v>
      </c>
      <c r="R148" s="13"/>
      <c r="S148" s="20">
        <v>-1.5707963267949001</v>
      </c>
      <c r="T148" s="13"/>
      <c r="U148" s="13">
        <f t="shared" si="23"/>
        <v>0</v>
      </c>
      <c r="V148" s="13">
        <f t="shared" si="24"/>
        <v>3.029521937584065</v>
      </c>
      <c r="W148" s="13">
        <f t="shared" si="25"/>
        <v>7.8307786041424368E-2</v>
      </c>
      <c r="X148" s="13">
        <f t="shared" si="26"/>
        <v>16.04344613757495</v>
      </c>
      <c r="Z148" t="str">
        <f t="shared" si="27"/>
        <v>19.0909090909091,62.0597014925373</v>
      </c>
      <c r="AA148" t="str">
        <f t="shared" si="28"/>
        <v>19.7270900499463,64.3817603140656</v>
      </c>
      <c r="AB148" t="str">
        <f t="shared" si="29"/>
        <v>18.1515259801172,64.0336254556626</v>
      </c>
      <c r="AC148" t="str">
        <f t="shared" si="30"/>
        <v>31.1054233746113,55.1551916761162</v>
      </c>
    </row>
    <row r="149" spans="2:29" x14ac:dyDescent="0.2">
      <c r="B149" s="3">
        <v>147</v>
      </c>
      <c r="C149" s="6">
        <v>18.136363636363701</v>
      </c>
      <c r="D149" s="6">
        <v>62.0597014925373</v>
      </c>
      <c r="E149" s="8">
        <v>-1.5707963267949001</v>
      </c>
      <c r="F149" s="7"/>
      <c r="G149" s="10">
        <v>18.773878633926699</v>
      </c>
      <c r="H149" s="10">
        <v>64.331312111289606</v>
      </c>
      <c r="I149" s="10">
        <v>-1.56942959809853</v>
      </c>
      <c r="K149" s="10">
        <v>17.196981417091902</v>
      </c>
      <c r="L149" s="10">
        <v>64.032320851404094</v>
      </c>
      <c r="M149" s="10">
        <v>-1.54978128333249</v>
      </c>
      <c r="N149" s="13"/>
      <c r="O149" s="10">
        <v>30.188055165238801</v>
      </c>
      <c r="P149" s="10">
        <v>54.891387594976202</v>
      </c>
      <c r="Q149" s="10">
        <v>-1.26420945619095</v>
      </c>
      <c r="R149" s="13"/>
      <c r="S149" s="20">
        <v>-1.5707963267949001</v>
      </c>
      <c r="T149" s="13"/>
      <c r="U149" s="13">
        <f t="shared" si="23"/>
        <v>0</v>
      </c>
      <c r="V149" s="13">
        <f t="shared" si="24"/>
        <v>7.8307786041424368E-2</v>
      </c>
      <c r="W149" s="13">
        <f t="shared" si="25"/>
        <v>1.2040732966800924</v>
      </c>
      <c r="X149" s="13">
        <f t="shared" si="26"/>
        <v>17.566133739729825</v>
      </c>
      <c r="Z149" t="str">
        <f t="shared" si="27"/>
        <v>18.1363636363637,62.0597014925373</v>
      </c>
      <c r="AA149" t="str">
        <f t="shared" si="28"/>
        <v>18.7738786339267,64.3313121112896</v>
      </c>
      <c r="AB149" t="str">
        <f t="shared" si="29"/>
        <v>17.1969814170919,64.0323208514041</v>
      </c>
      <c r="AC149" t="str">
        <f t="shared" si="30"/>
        <v>30.1880551652388,54.8913875949762</v>
      </c>
    </row>
    <row r="150" spans="2:29" x14ac:dyDescent="0.2">
      <c r="B150" s="3">
        <v>148</v>
      </c>
      <c r="C150" s="6">
        <v>17.181818181818201</v>
      </c>
      <c r="D150" s="6">
        <v>62.0597014925373</v>
      </c>
      <c r="E150" s="8">
        <v>-1.5707963267949001</v>
      </c>
      <c r="F150" s="7"/>
      <c r="G150" s="10">
        <v>17.819334070901402</v>
      </c>
      <c r="H150" s="10">
        <v>64.330007507031098</v>
      </c>
      <c r="I150" s="10">
        <v>-1.54978128333249</v>
      </c>
      <c r="K150" s="10">
        <v>16.242646733723099</v>
      </c>
      <c r="L150" s="10">
        <v>64.012262513666798</v>
      </c>
      <c r="M150" s="10">
        <v>-1.52108186875181</v>
      </c>
      <c r="N150" s="13"/>
      <c r="O150" s="10">
        <v>29.278020904642201</v>
      </c>
      <c r="P150" s="10">
        <v>54.603299640813098</v>
      </c>
      <c r="Q150" s="10">
        <v>-1.2219792780107801</v>
      </c>
      <c r="R150" s="13"/>
      <c r="S150" s="20">
        <v>-1.5707963267949001</v>
      </c>
      <c r="T150" s="13"/>
      <c r="U150" s="13">
        <f t="shared" si="23"/>
        <v>0</v>
      </c>
      <c r="V150" s="13">
        <f t="shared" si="24"/>
        <v>1.2040732966800924</v>
      </c>
      <c r="W150" s="13">
        <f t="shared" si="25"/>
        <v>2.8484286266492762</v>
      </c>
      <c r="X150" s="13">
        <f t="shared" si="26"/>
        <v>19.985744717539021</v>
      </c>
      <c r="Z150" t="str">
        <f t="shared" si="27"/>
        <v>17.1818181818182,62.0597014925373</v>
      </c>
      <c r="AA150" t="str">
        <f t="shared" si="28"/>
        <v>17.8193340709014,64.3300075070311</v>
      </c>
      <c r="AB150" t="str">
        <f t="shared" si="29"/>
        <v>16.2426467337231,64.0122625136668</v>
      </c>
      <c r="AC150" t="str">
        <f t="shared" si="30"/>
        <v>29.2780209046422,54.6032996408131</v>
      </c>
    </row>
    <row r="151" spans="2:29" x14ac:dyDescent="0.2">
      <c r="B151" s="3">
        <v>149</v>
      </c>
      <c r="C151" s="6">
        <v>16.227272727272801</v>
      </c>
      <c r="D151" s="6">
        <v>62.0597014925373</v>
      </c>
      <c r="E151" s="8">
        <v>-1.5707963267949001</v>
      </c>
      <c r="F151" s="7"/>
      <c r="G151" s="10">
        <v>16.864999387532599</v>
      </c>
      <c r="H151" s="10">
        <v>64.309949169293802</v>
      </c>
      <c r="I151" s="10">
        <v>-1.52108186875181</v>
      </c>
      <c r="K151" s="10">
        <v>15.2892806288414</v>
      </c>
      <c r="L151" s="10">
        <v>63.964827348903299</v>
      </c>
      <c r="M151" s="10">
        <v>-1.5710756336816001</v>
      </c>
      <c r="N151" s="13"/>
      <c r="O151" s="10">
        <v>28.380960385362499</v>
      </c>
      <c r="P151" s="10">
        <v>54.277049047644198</v>
      </c>
      <c r="Q151" s="10">
        <v>-1.2903827600365101</v>
      </c>
      <c r="R151" s="13"/>
      <c r="S151" s="20">
        <v>-1.5707963267949001</v>
      </c>
      <c r="T151" s="13"/>
      <c r="U151" s="13">
        <f t="shared" si="23"/>
        <v>0</v>
      </c>
      <c r="V151" s="13">
        <f t="shared" si="24"/>
        <v>2.8484286266492762</v>
      </c>
      <c r="W151" s="13">
        <f t="shared" si="25"/>
        <v>-1.600310579684697E-2</v>
      </c>
      <c r="X151" s="13">
        <f t="shared" si="26"/>
        <v>16.066513893465704</v>
      </c>
      <c r="Z151" t="str">
        <f t="shared" si="27"/>
        <v>16.2272727272728,62.0597014925373</v>
      </c>
      <c r="AA151" t="str">
        <f t="shared" si="28"/>
        <v>16.8649993875326,64.3099491692938</v>
      </c>
      <c r="AB151" t="str">
        <f t="shared" si="29"/>
        <v>15.2892806288414,63.9648273489033</v>
      </c>
      <c r="AC151" t="str">
        <f t="shared" si="30"/>
        <v>28.3809603853625,54.2770490476442</v>
      </c>
    </row>
    <row r="152" spans="2:29" x14ac:dyDescent="0.2">
      <c r="B152" s="3">
        <v>150</v>
      </c>
      <c r="C152" s="6">
        <v>15.2727272727273</v>
      </c>
      <c r="D152" s="6">
        <v>62.0597014925373</v>
      </c>
      <c r="E152" s="8">
        <v>-1.5707963267949001</v>
      </c>
      <c r="F152" s="7"/>
      <c r="G152" s="10">
        <v>15.9116332826509</v>
      </c>
      <c r="H152" s="10">
        <v>64.262514004530303</v>
      </c>
      <c r="I152" s="10">
        <v>-1.5710756336816001</v>
      </c>
      <c r="K152" s="10">
        <v>14.3347352115291</v>
      </c>
      <c r="L152" s="10">
        <v>63.965093960018898</v>
      </c>
      <c r="M152" s="10">
        <v>-1.5909026461100799</v>
      </c>
      <c r="N152" s="13"/>
      <c r="O152" s="10">
        <v>27.463698460047201</v>
      </c>
      <c r="P152" s="10">
        <v>54.012875647847302</v>
      </c>
      <c r="Q152" s="10">
        <v>-1.3185855263913999</v>
      </c>
      <c r="R152" s="13"/>
      <c r="S152" s="20">
        <v>-1.5707963267949001</v>
      </c>
      <c r="T152" s="13"/>
      <c r="U152" s="13">
        <f t="shared" si="23"/>
        <v>0</v>
      </c>
      <c r="V152" s="13">
        <f t="shared" si="24"/>
        <v>-1.600310579684697E-2</v>
      </c>
      <c r="W152" s="13">
        <f t="shared" si="25"/>
        <v>-1.1520072383021709</v>
      </c>
      <c r="X152" s="13">
        <f t="shared" si="26"/>
        <v>14.450614410736961</v>
      </c>
      <c r="Z152" t="str">
        <f t="shared" si="27"/>
        <v>15.2727272727273,62.0597014925373</v>
      </c>
      <c r="AA152" t="str">
        <f t="shared" si="28"/>
        <v>15.9116332826509,64.2625140045303</v>
      </c>
      <c r="AB152" t="str">
        <f t="shared" si="29"/>
        <v>14.3347352115291,63.9650939600189</v>
      </c>
      <c r="AC152" t="str">
        <f t="shared" si="30"/>
        <v>27.4636984600472,54.0128756478473</v>
      </c>
    </row>
    <row r="153" spans="2:29" x14ac:dyDescent="0.2">
      <c r="B153" s="3">
        <v>151</v>
      </c>
      <c r="C153" s="6">
        <v>14.3181818181819</v>
      </c>
      <c r="D153" s="6">
        <v>62.0597014925373</v>
      </c>
      <c r="E153" s="8">
        <v>-1.5707963267949001</v>
      </c>
      <c r="F153" s="7"/>
      <c r="G153" s="10">
        <v>14.9570878653386</v>
      </c>
      <c r="H153" s="10">
        <v>64.262780615645994</v>
      </c>
      <c r="I153" s="10">
        <v>-1.5909026461100799</v>
      </c>
      <c r="K153" s="10">
        <v>13.380382694702</v>
      </c>
      <c r="L153" s="10">
        <v>63.984285062622298</v>
      </c>
      <c r="M153" s="10">
        <v>-1.60208487371416</v>
      </c>
      <c r="N153" s="13"/>
      <c r="O153" s="10">
        <v>26.5393518707615</v>
      </c>
      <c r="P153" s="10">
        <v>53.774673196833</v>
      </c>
      <c r="Q153" s="10">
        <v>-1.3369589247984399</v>
      </c>
      <c r="R153" s="13"/>
      <c r="S153" s="20">
        <v>-1.5707963267949001</v>
      </c>
      <c r="T153" s="13"/>
      <c r="U153" s="13">
        <f t="shared" si="23"/>
        <v>0</v>
      </c>
      <c r="V153" s="13">
        <f t="shared" si="24"/>
        <v>-1.1520072383021709</v>
      </c>
      <c r="W153" s="13">
        <f t="shared" si="25"/>
        <v>-1.7927016855706444</v>
      </c>
      <c r="X153" s="13">
        <f t="shared" si="26"/>
        <v>13.397896226701178</v>
      </c>
      <c r="Z153" t="str">
        <f t="shared" si="27"/>
        <v>14.3181818181819,62.0597014925373</v>
      </c>
      <c r="AA153" t="str">
        <f t="shared" si="28"/>
        <v>14.9570878653386,64.262780615646</v>
      </c>
      <c r="AB153" t="str">
        <f t="shared" si="29"/>
        <v>13.380382694702,63.9842850626223</v>
      </c>
      <c r="AC153" t="str">
        <f t="shared" si="30"/>
        <v>26.5393518707615,53.774673196833</v>
      </c>
    </row>
    <row r="154" spans="2:29" x14ac:dyDescent="0.2">
      <c r="B154" s="3">
        <v>152</v>
      </c>
      <c r="C154" s="6">
        <v>13.363636363636401</v>
      </c>
      <c r="D154" s="6">
        <v>62.0597014925373</v>
      </c>
      <c r="E154" s="8">
        <v>-1.5707963267949001</v>
      </c>
      <c r="F154" s="7"/>
      <c r="G154" s="10">
        <v>14.0027353485115</v>
      </c>
      <c r="H154" s="10">
        <v>64.281971718249395</v>
      </c>
      <c r="I154" s="10">
        <v>-1.60208487371416</v>
      </c>
      <c r="K154" s="10">
        <v>12.4263044392341</v>
      </c>
      <c r="L154" s="10">
        <v>64.0141465300443</v>
      </c>
      <c r="M154" s="10">
        <v>-1.5688404631583199</v>
      </c>
      <c r="N154" s="13"/>
      <c r="O154" s="10">
        <v>25.610784956069601</v>
      </c>
      <c r="P154" s="10">
        <v>53.553493383710197</v>
      </c>
      <c r="Q154" s="10">
        <v>-1.29372836038401</v>
      </c>
      <c r="R154" s="13"/>
      <c r="S154" s="20">
        <v>-1.5707963267949001</v>
      </c>
      <c r="T154" s="13"/>
      <c r="U154" s="13">
        <f t="shared" si="23"/>
        <v>0</v>
      </c>
      <c r="V154" s="13">
        <f t="shared" si="24"/>
        <v>-1.7927016855706444</v>
      </c>
      <c r="W154" s="13">
        <f t="shared" si="25"/>
        <v>0.11206273167915334</v>
      </c>
      <c r="X154" s="13">
        <f t="shared" si="26"/>
        <v>15.874825113616462</v>
      </c>
      <c r="Z154" t="str">
        <f t="shared" si="27"/>
        <v>13.3636363636364,62.0597014925373</v>
      </c>
      <c r="AA154" t="str">
        <f t="shared" si="28"/>
        <v>14.0027353485115,64.2819717182494</v>
      </c>
      <c r="AB154" t="str">
        <f t="shared" si="29"/>
        <v>12.4263044392341,64.0141465300443</v>
      </c>
      <c r="AC154" t="str">
        <f t="shared" si="30"/>
        <v>25.6107849560696,53.5534933837102</v>
      </c>
    </row>
    <row r="155" spans="2:29" x14ac:dyDescent="0.2">
      <c r="B155" s="3">
        <v>153</v>
      </c>
      <c r="C155" s="6">
        <v>12.409090909091001</v>
      </c>
      <c r="D155" s="6">
        <v>62.0597014925373</v>
      </c>
      <c r="E155" s="8">
        <v>-1.5707963267949001</v>
      </c>
      <c r="F155" s="7"/>
      <c r="G155" s="10">
        <v>13.0486570930436</v>
      </c>
      <c r="H155" s="10">
        <v>64.311833185671404</v>
      </c>
      <c r="I155" s="10">
        <v>-1.5688404631583199</v>
      </c>
      <c r="K155" s="10">
        <v>11.4717608104483</v>
      </c>
      <c r="L155" s="10">
        <v>64.012279570490705</v>
      </c>
      <c r="M155" s="10">
        <v>-1.5568668460263</v>
      </c>
      <c r="N155" s="13"/>
      <c r="O155" s="10">
        <v>24.692644347255602</v>
      </c>
      <c r="P155" s="10">
        <v>53.292390248455199</v>
      </c>
      <c r="Q155" s="10">
        <v>-1.2892096125942101</v>
      </c>
      <c r="R155" s="13"/>
      <c r="S155" s="20">
        <v>-1.5707963267949001</v>
      </c>
      <c r="T155" s="13"/>
      <c r="U155" s="13">
        <f t="shared" si="23"/>
        <v>0</v>
      </c>
      <c r="V155" s="13">
        <f t="shared" si="24"/>
        <v>0.11206273167915334</v>
      </c>
      <c r="W155" s="13">
        <f t="shared" si="25"/>
        <v>0.79810045884943304</v>
      </c>
      <c r="X155" s="13">
        <f t="shared" si="26"/>
        <v>16.133730290656064</v>
      </c>
      <c r="Z155" t="str">
        <f t="shared" si="27"/>
        <v>12.409090909091,62.0597014925373</v>
      </c>
      <c r="AA155" t="str">
        <f t="shared" si="28"/>
        <v>13.0486570930436,64.3118331856714</v>
      </c>
      <c r="AB155" t="str">
        <f t="shared" si="29"/>
        <v>11.4717608104483,64.0122795704907</v>
      </c>
      <c r="AC155" t="str">
        <f t="shared" si="30"/>
        <v>24.6926443472556,53.2923902484552</v>
      </c>
    </row>
    <row r="156" spans="2:29" x14ac:dyDescent="0.2">
      <c r="B156" s="3">
        <v>154</v>
      </c>
      <c r="C156" s="6">
        <v>11.454545454545499</v>
      </c>
      <c r="D156" s="6">
        <v>62.0597014925373</v>
      </c>
      <c r="E156" s="8">
        <v>-1.5707963267949001</v>
      </c>
      <c r="F156" s="7"/>
      <c r="G156" s="10">
        <v>12.0941134642578</v>
      </c>
      <c r="H156" s="10">
        <v>64.309966226117695</v>
      </c>
      <c r="I156" s="10">
        <v>-1.5568668460263</v>
      </c>
      <c r="K156" s="10">
        <v>10.517307959840201</v>
      </c>
      <c r="L156" s="10">
        <v>63.998983677916499</v>
      </c>
      <c r="M156" s="10">
        <v>-1.56117780349493</v>
      </c>
      <c r="N156" s="13"/>
      <c r="O156" s="10">
        <v>23.775692967419701</v>
      </c>
      <c r="P156" s="10">
        <v>53.027140947211201</v>
      </c>
      <c r="Q156" s="10">
        <v>-1.29083918805181</v>
      </c>
      <c r="R156" s="13"/>
      <c r="S156" s="20">
        <v>-1.5707963267949001</v>
      </c>
      <c r="T156" s="13"/>
      <c r="U156" s="13">
        <f t="shared" si="23"/>
        <v>0</v>
      </c>
      <c r="V156" s="13">
        <f t="shared" si="24"/>
        <v>0.79810045884943304</v>
      </c>
      <c r="W156" s="13">
        <f t="shared" si="25"/>
        <v>0.55110079023653469</v>
      </c>
      <c r="X156" s="13">
        <f t="shared" si="26"/>
        <v>16.04036249453749</v>
      </c>
      <c r="Z156" t="str">
        <f t="shared" si="27"/>
        <v>11.4545454545455,62.0597014925373</v>
      </c>
      <c r="AA156" t="str">
        <f t="shared" si="28"/>
        <v>12.0941134642578,64.3099662261177</v>
      </c>
      <c r="AB156" t="str">
        <f t="shared" si="29"/>
        <v>10.5173079598402,63.9989836779165</v>
      </c>
      <c r="AC156" t="str">
        <f t="shared" si="30"/>
        <v>23.7756929674197,53.0271409472112</v>
      </c>
    </row>
    <row r="157" spans="2:29" x14ac:dyDescent="0.2">
      <c r="B157" s="3">
        <v>155</v>
      </c>
      <c r="C157" s="6">
        <v>10.5</v>
      </c>
      <c r="D157" s="6">
        <v>62.0597014925373</v>
      </c>
      <c r="E157" s="8">
        <v>-1.5707963267949001</v>
      </c>
      <c r="F157" s="7"/>
      <c r="G157" s="10">
        <v>11.139660613649699</v>
      </c>
      <c r="H157" s="10">
        <v>64.296670333543503</v>
      </c>
      <c r="I157" s="10">
        <v>-1.56117780349493</v>
      </c>
      <c r="K157" s="10">
        <v>9.5628066603133792</v>
      </c>
      <c r="L157" s="10">
        <v>63.989802501790201</v>
      </c>
      <c r="M157" s="10">
        <v>-1.55662384647026</v>
      </c>
      <c r="N157" s="13"/>
      <c r="O157" s="10">
        <v>22.858310561513001</v>
      </c>
      <c r="P157" s="10">
        <v>52.763386238956997</v>
      </c>
      <c r="Q157" s="10">
        <v>-1.2657384861387999</v>
      </c>
      <c r="R157" s="13"/>
      <c r="S157" s="20">
        <v>-1.5707963267949001</v>
      </c>
      <c r="T157" s="13"/>
      <c r="U157" s="13">
        <f t="shared" si="23"/>
        <v>0</v>
      </c>
      <c r="V157" s="13">
        <f t="shared" si="24"/>
        <v>0.55110079023653469</v>
      </c>
      <c r="W157" s="13">
        <f t="shared" si="25"/>
        <v>0.81202330783407861</v>
      </c>
      <c r="X157" s="13">
        <f t="shared" si="26"/>
        <v>17.478526776968916</v>
      </c>
      <c r="Z157" t="str">
        <f t="shared" si="27"/>
        <v>10.5,62.0597014925373</v>
      </c>
      <c r="AA157" t="str">
        <f t="shared" si="28"/>
        <v>11.1396606136497,64.2966703335435</v>
      </c>
      <c r="AB157" t="str">
        <f t="shared" si="29"/>
        <v>9.56280666031338,63.9898025017902</v>
      </c>
      <c r="AC157" t="str">
        <f t="shared" si="30"/>
        <v>22.858310561513,52.763386238957</v>
      </c>
    </row>
    <row r="158" spans="2:29" x14ac:dyDescent="0.2">
      <c r="B158" s="3">
        <v>156</v>
      </c>
      <c r="C158" s="6">
        <v>9.5454545454545805</v>
      </c>
      <c r="D158" s="6">
        <v>62.0597014925373</v>
      </c>
      <c r="E158" s="8">
        <v>-1.5707963267949001</v>
      </c>
      <c r="F158" s="7"/>
      <c r="G158" s="10">
        <v>10.185159314122901</v>
      </c>
      <c r="H158" s="10">
        <v>64.287489157417198</v>
      </c>
      <c r="I158" s="10">
        <v>-1.55662384647026</v>
      </c>
      <c r="K158" s="10">
        <v>8.6083570687808209</v>
      </c>
      <c r="L158" s="10">
        <v>63.976274677992002</v>
      </c>
      <c r="M158" s="10">
        <v>-1.5477711284018401</v>
      </c>
      <c r="N158" s="13"/>
      <c r="O158" s="10">
        <v>21.947836869777799</v>
      </c>
      <c r="P158" s="10">
        <v>52.476690090654799</v>
      </c>
      <c r="Q158" s="10">
        <v>-1.27344319593546</v>
      </c>
      <c r="R158" s="13"/>
      <c r="S158" s="20">
        <v>-1.5707963267949001</v>
      </c>
      <c r="T158" s="13"/>
      <c r="U158" s="13">
        <f t="shared" si="23"/>
        <v>0</v>
      </c>
      <c r="V158" s="13">
        <f t="shared" si="24"/>
        <v>0.81202330783407861</v>
      </c>
      <c r="W158" s="13">
        <f t="shared" si="25"/>
        <v>1.3192466903737463</v>
      </c>
      <c r="X158" s="13">
        <f t="shared" si="26"/>
        <v>17.037079423247199</v>
      </c>
      <c r="Z158" t="str">
        <f t="shared" si="27"/>
        <v>9.54545454545458,62.0597014925373</v>
      </c>
      <c r="AA158" t="str">
        <f t="shared" si="28"/>
        <v>10.1851593141229,64.2874891574172</v>
      </c>
      <c r="AB158" t="str">
        <f t="shared" si="29"/>
        <v>8.60835706878082,63.976274677992</v>
      </c>
      <c r="AC158" t="str">
        <f t="shared" si="30"/>
        <v>21.9478368697778,52.4766900906548</v>
      </c>
    </row>
    <row r="159" spans="2:29" x14ac:dyDescent="0.2">
      <c r="B159" s="3">
        <v>157</v>
      </c>
      <c r="C159" s="6">
        <v>8.5909090909091308</v>
      </c>
      <c r="D159" s="6">
        <v>62.0597014925373</v>
      </c>
      <c r="E159" s="8">
        <v>-1.5707963267949001</v>
      </c>
      <c r="F159" s="7"/>
      <c r="G159" s="10">
        <v>9.2307097225903192</v>
      </c>
      <c r="H159" s="10">
        <v>64.273961333618999</v>
      </c>
      <c r="I159" s="10">
        <v>-1.5477711284018401</v>
      </c>
      <c r="K159" s="10">
        <v>7.6540646338517098</v>
      </c>
      <c r="L159" s="10">
        <v>63.954298021502503</v>
      </c>
      <c r="M159" s="10">
        <v>-1.5263167048591699</v>
      </c>
      <c r="N159" s="13"/>
      <c r="O159" s="10">
        <v>21.035181313162099</v>
      </c>
      <c r="P159" s="10">
        <v>52.1970173179865</v>
      </c>
      <c r="Q159" s="10">
        <v>-1.22042310755201</v>
      </c>
      <c r="R159" s="13"/>
      <c r="S159" s="20">
        <v>-1.5707963267949001</v>
      </c>
      <c r="T159" s="13"/>
      <c r="U159" s="13">
        <f t="shared" si="23"/>
        <v>0</v>
      </c>
      <c r="V159" s="13">
        <f t="shared" si="24"/>
        <v>1.3192466903737463</v>
      </c>
      <c r="W159" s="13">
        <f t="shared" si="25"/>
        <v>2.5484946112548568</v>
      </c>
      <c r="X159" s="13">
        <f t="shared" si="26"/>
        <v>20.074906717029485</v>
      </c>
      <c r="Z159" t="str">
        <f t="shared" si="27"/>
        <v>8.59090909090913,62.0597014925373</v>
      </c>
      <c r="AA159" t="str">
        <f t="shared" si="28"/>
        <v>9.23070972259032,64.273961333619</v>
      </c>
      <c r="AB159" t="str">
        <f t="shared" si="29"/>
        <v>7.65406463385171,63.9542980215025</v>
      </c>
      <c r="AC159" t="str">
        <f t="shared" si="30"/>
        <v>21.0351813131621,52.1970173179865</v>
      </c>
    </row>
    <row r="160" spans="2:29" x14ac:dyDescent="0.2">
      <c r="B160" s="3">
        <v>158</v>
      </c>
      <c r="C160" s="6">
        <v>7.6363636363636704</v>
      </c>
      <c r="D160" s="6">
        <v>62.0597014925373</v>
      </c>
      <c r="E160" s="8">
        <v>-1.5707963267949001</v>
      </c>
      <c r="F160" s="7"/>
      <c r="G160" s="10">
        <v>8.2764172876612108</v>
      </c>
      <c r="H160" s="10">
        <v>64.251984677129499</v>
      </c>
      <c r="I160" s="10">
        <v>-1.5263167048591699</v>
      </c>
      <c r="K160" s="10">
        <v>6.7004632775494199</v>
      </c>
      <c r="L160" s="10">
        <v>63.911854199197997</v>
      </c>
      <c r="M160" s="10">
        <v>-1.5313990172855301</v>
      </c>
      <c r="N160" s="13"/>
      <c r="O160" s="10">
        <v>20.138629581403201</v>
      </c>
      <c r="P160" s="10">
        <v>51.869371141336202</v>
      </c>
      <c r="Q160" s="10">
        <v>-1.2379342599538099</v>
      </c>
      <c r="R160" s="13"/>
      <c r="S160" s="20">
        <v>-1.5707963267949001</v>
      </c>
      <c r="T160" s="13"/>
      <c r="U160" s="13">
        <f t="shared" si="23"/>
        <v>0</v>
      </c>
      <c r="V160" s="13">
        <f t="shared" si="24"/>
        <v>2.5484946112548568</v>
      </c>
      <c r="W160" s="13">
        <f t="shared" si="25"/>
        <v>2.2572995590575271</v>
      </c>
      <c r="X160" s="13">
        <f t="shared" si="26"/>
        <v>19.071591589995975</v>
      </c>
      <c r="Z160" t="str">
        <f t="shared" si="27"/>
        <v>7.63636363636367,62.0597014925373</v>
      </c>
      <c r="AA160" t="str">
        <f t="shared" si="28"/>
        <v>8.27641728766121,64.2519846771295</v>
      </c>
      <c r="AB160" t="str">
        <f t="shared" si="29"/>
        <v>6.70046327754942,63.911854199198</v>
      </c>
      <c r="AC160" t="str">
        <f t="shared" si="30"/>
        <v>20.1386295814032,51.8693711413362</v>
      </c>
    </row>
    <row r="161" spans="2:29" x14ac:dyDescent="0.2">
      <c r="B161" s="3">
        <v>159</v>
      </c>
      <c r="C161" s="6">
        <v>6.6818181818182198</v>
      </c>
      <c r="D161" s="6">
        <v>62.0597014925373</v>
      </c>
      <c r="E161" s="8">
        <v>-1.5707963267949001</v>
      </c>
      <c r="F161" s="7"/>
      <c r="G161" s="10">
        <v>7.3228159313589201</v>
      </c>
      <c r="H161" s="10">
        <v>64.209540854824994</v>
      </c>
      <c r="I161" s="10">
        <v>-1.5313990172855301</v>
      </c>
      <c r="K161" s="10">
        <v>5.7466585250973798</v>
      </c>
      <c r="L161" s="10">
        <v>63.874257404211001</v>
      </c>
      <c r="M161" s="10">
        <v>-1.53786021862102</v>
      </c>
      <c r="N161" s="13"/>
      <c r="O161" s="10">
        <v>19.236478136734199</v>
      </c>
      <c r="P161" s="10">
        <v>51.5574740498542</v>
      </c>
      <c r="Q161" s="10">
        <v>-1.2446435345579301</v>
      </c>
      <c r="R161" s="13"/>
      <c r="S161" s="20">
        <v>-1.5707963267949001</v>
      </c>
      <c r="T161" s="13"/>
      <c r="U161" s="13">
        <f t="shared" si="23"/>
        <v>0</v>
      </c>
      <c r="V161" s="13">
        <f t="shared" si="24"/>
        <v>2.2572995590575271</v>
      </c>
      <c r="W161" s="13">
        <f t="shared" si="25"/>
        <v>1.8870999919496656</v>
      </c>
      <c r="X161" s="13">
        <f t="shared" si="26"/>
        <v>18.687178471585582</v>
      </c>
      <c r="Z161" t="str">
        <f t="shared" si="27"/>
        <v>6.68181818181822,62.0597014925373</v>
      </c>
      <c r="AA161" t="str">
        <f t="shared" si="28"/>
        <v>7.32281593135892,64.209540854825</v>
      </c>
      <c r="AB161" t="str">
        <f t="shared" si="29"/>
        <v>5.74665852509738,63.874257404211</v>
      </c>
      <c r="AC161" t="str">
        <f t="shared" si="30"/>
        <v>19.2364781367342,51.5574740498542</v>
      </c>
    </row>
    <row r="162" spans="2:29" x14ac:dyDescent="0.2">
      <c r="B162" s="3">
        <v>160</v>
      </c>
      <c r="C162" s="6">
        <v>5.7272727272727604</v>
      </c>
      <c r="D162" s="6">
        <v>62.0597014925373</v>
      </c>
      <c r="E162" s="8">
        <v>-1.5707963267949001</v>
      </c>
      <c r="F162" s="7"/>
      <c r="G162" s="10">
        <v>6.36901117890688</v>
      </c>
      <c r="H162" s="10">
        <v>64.171944059837998</v>
      </c>
      <c r="I162" s="10">
        <v>-1.53786021862102</v>
      </c>
      <c r="K162" s="10">
        <v>4.7926307631063096</v>
      </c>
      <c r="L162" s="10">
        <v>63.842824075661397</v>
      </c>
      <c r="M162" s="10">
        <v>-1.5923152888890499</v>
      </c>
      <c r="N162" s="13"/>
      <c r="O162" s="10">
        <v>18.332254409341001</v>
      </c>
      <c r="P162" s="10">
        <v>51.2516367146372</v>
      </c>
      <c r="Q162" s="10">
        <v>-1.32635363198552</v>
      </c>
      <c r="R162" s="13"/>
      <c r="S162" s="20">
        <v>-1.5707963267949001</v>
      </c>
      <c r="T162" s="13"/>
      <c r="U162" s="13">
        <f t="shared" si="23"/>
        <v>0</v>
      </c>
      <c r="V162" s="13">
        <f t="shared" si="24"/>
        <v>1.8870999919496656</v>
      </c>
      <c r="W162" s="13">
        <f t="shared" si="25"/>
        <v>-1.2329457074967849</v>
      </c>
      <c r="X162" s="13">
        <f t="shared" si="26"/>
        <v>14.005534745381913</v>
      </c>
      <c r="Z162" t="str">
        <f t="shared" si="27"/>
        <v>5.72727272727276,62.0597014925373</v>
      </c>
      <c r="AA162" t="str">
        <f t="shared" si="28"/>
        <v>6.36901117890688,64.171944059838</v>
      </c>
      <c r="AB162" t="str">
        <f t="shared" si="29"/>
        <v>4.79263076310631,63.8428240756614</v>
      </c>
      <c r="AC162" t="str">
        <f t="shared" si="30"/>
        <v>18.332254409341,51.2516367146372</v>
      </c>
    </row>
    <row r="163" spans="2:29" x14ac:dyDescent="0.2">
      <c r="B163" s="3">
        <v>161</v>
      </c>
      <c r="C163" s="6">
        <v>4.7727272727273098</v>
      </c>
      <c r="D163" s="6">
        <v>62.0597014925373</v>
      </c>
      <c r="E163" s="8">
        <v>-1.5707963267949001</v>
      </c>
      <c r="F163" s="7"/>
      <c r="G163" s="10">
        <v>5.4149834169158098</v>
      </c>
      <c r="H163" s="10">
        <v>64.140510731288401</v>
      </c>
      <c r="I163" s="10">
        <v>-1.5923152888890499</v>
      </c>
      <c r="K163" s="10">
        <v>3.8383063086762101</v>
      </c>
      <c r="L163" s="10">
        <v>63.863363317859402</v>
      </c>
      <c r="M163" s="10">
        <v>-1.6140985086572199</v>
      </c>
      <c r="N163" s="13"/>
      <c r="O163" s="10">
        <v>17.406085345870299</v>
      </c>
      <c r="P163" s="10">
        <v>51.020621800263498</v>
      </c>
      <c r="Q163" s="10">
        <v>-1.3656534233328601</v>
      </c>
      <c r="R163" s="13"/>
      <c r="S163" s="20">
        <v>-1.5707963267949001</v>
      </c>
      <c r="T163" s="13"/>
      <c r="U163" s="13">
        <f t="shared" si="23"/>
        <v>0</v>
      </c>
      <c r="V163" s="13">
        <f t="shared" si="24"/>
        <v>-1.2329457074967849</v>
      </c>
      <c r="W163" s="13">
        <f t="shared" si="25"/>
        <v>-2.4810322644188689</v>
      </c>
      <c r="X163" s="13">
        <f t="shared" si="26"/>
        <v>11.753822565434577</v>
      </c>
      <c r="Z163" t="str">
        <f t="shared" si="27"/>
        <v>4.77272727272731,62.0597014925373</v>
      </c>
      <c r="AA163" t="str">
        <f t="shared" si="28"/>
        <v>5.41498341691581,64.1405107312884</v>
      </c>
      <c r="AB163" t="str">
        <f t="shared" si="29"/>
        <v>3.83830630867621,63.8633633178594</v>
      </c>
      <c r="AC163" t="str">
        <f t="shared" si="30"/>
        <v>17.4060853458703,51.0206218002635</v>
      </c>
    </row>
    <row r="164" spans="2:29" x14ac:dyDescent="0.2">
      <c r="B164" s="3">
        <v>162</v>
      </c>
      <c r="C164" s="6">
        <v>3.8181818181818499</v>
      </c>
      <c r="D164" s="6">
        <v>62.0597014925373</v>
      </c>
      <c r="E164" s="8">
        <v>-1.5707963267949001</v>
      </c>
      <c r="F164" s="7"/>
      <c r="G164" s="10">
        <v>4.4606589624857103</v>
      </c>
      <c r="H164" s="10">
        <v>64.161049973486399</v>
      </c>
      <c r="I164" s="10">
        <v>-1.6140985086572199</v>
      </c>
      <c r="K164" s="10">
        <v>2.88465563834797</v>
      </c>
      <c r="L164" s="10">
        <v>63.904684302551097</v>
      </c>
      <c r="M164" s="10">
        <v>-1.58848618472053</v>
      </c>
      <c r="N164" s="13"/>
      <c r="O164" s="10">
        <v>16.471554911075401</v>
      </c>
      <c r="P164" s="10">
        <v>50.826174143462097</v>
      </c>
      <c r="Q164" s="10">
        <v>-1.3266228112176299</v>
      </c>
      <c r="R164" s="13"/>
      <c r="S164" s="20">
        <v>-1.5707963267949001</v>
      </c>
      <c r="T164" s="13"/>
      <c r="U164" s="13">
        <f t="shared" si="23"/>
        <v>0</v>
      </c>
      <c r="V164" s="13">
        <f t="shared" si="24"/>
        <v>-2.4810322644188689</v>
      </c>
      <c r="W164" s="13">
        <f t="shared" si="25"/>
        <v>-1.0135541993246446</v>
      </c>
      <c r="X164" s="13">
        <f t="shared" si="26"/>
        <v>13.990111911449445</v>
      </c>
      <c r="Z164" t="str">
        <f t="shared" si="27"/>
        <v>3.81818181818185,62.0597014925373</v>
      </c>
      <c r="AA164" t="str">
        <f t="shared" si="28"/>
        <v>4.46065896248571,64.1610499734864</v>
      </c>
      <c r="AB164" t="str">
        <f t="shared" si="29"/>
        <v>2.88465563834797,63.9046843025511</v>
      </c>
      <c r="AC164" t="str">
        <f t="shared" si="30"/>
        <v>16.4715549110754,50.8261741434621</v>
      </c>
    </row>
    <row r="165" spans="2:29" x14ac:dyDescent="0.2">
      <c r="B165" s="3">
        <v>163</v>
      </c>
      <c r="C165" s="6">
        <v>2.8636363636364002</v>
      </c>
      <c r="D165" s="6">
        <v>62.0597014925373</v>
      </c>
      <c r="E165" s="8">
        <v>-1.5707963267949001</v>
      </c>
      <c r="F165" s="7"/>
      <c r="G165" s="10">
        <v>3.5070082921574701</v>
      </c>
      <c r="H165" s="10">
        <v>64.202370958177994</v>
      </c>
      <c r="I165" s="10">
        <v>-1.58848618472053</v>
      </c>
      <c r="K165" s="10">
        <v>1.93025953337464</v>
      </c>
      <c r="L165" s="10">
        <v>63.921569195358799</v>
      </c>
      <c r="M165" s="10">
        <v>-1.60496816177496</v>
      </c>
      <c r="N165" s="13"/>
      <c r="O165" s="10">
        <v>15.5453236967421</v>
      </c>
      <c r="P165" s="10">
        <v>50.595408542931999</v>
      </c>
      <c r="Q165" s="10">
        <v>-1.34409810928554</v>
      </c>
      <c r="R165" s="13"/>
      <c r="S165" s="20">
        <v>-1.5707963267949001</v>
      </c>
      <c r="T165" s="13"/>
      <c r="U165" s="13">
        <f t="shared" si="23"/>
        <v>0</v>
      </c>
      <c r="V165" s="13">
        <f t="shared" si="24"/>
        <v>-1.0135541993246446</v>
      </c>
      <c r="W165" s="13">
        <f t="shared" si="25"/>
        <v>-1.9579019225749479</v>
      </c>
      <c r="X165" s="13">
        <f t="shared" si="26"/>
        <v>12.988851086425077</v>
      </c>
      <c r="Z165" t="str">
        <f t="shared" si="27"/>
        <v>2.8636363636364,62.0597014925373</v>
      </c>
      <c r="AA165" t="str">
        <f t="shared" si="28"/>
        <v>3.50700829215747,64.202370958178</v>
      </c>
      <c r="AB165" t="str">
        <f t="shared" si="29"/>
        <v>1.93025953337464,63.9215691953588</v>
      </c>
      <c r="AC165" t="str">
        <f t="shared" si="30"/>
        <v>15.5453236967421,50.595408542932</v>
      </c>
    </row>
    <row r="166" spans="2:29" x14ac:dyDescent="0.2">
      <c r="B166" s="3">
        <v>164</v>
      </c>
      <c r="C166" s="6">
        <v>1.90909090909095</v>
      </c>
      <c r="D166" s="6">
        <v>62.0597014925373</v>
      </c>
      <c r="E166" s="8">
        <v>-1.5707963267949001</v>
      </c>
      <c r="F166" s="7"/>
      <c r="G166" s="10">
        <v>2.5526121871841401</v>
      </c>
      <c r="H166" s="10">
        <v>64.219255850985803</v>
      </c>
      <c r="I166" s="10">
        <v>-1.60496816177496</v>
      </c>
      <c r="K166" s="10">
        <v>0.97627134279038097</v>
      </c>
      <c r="L166" s="10">
        <v>63.954181417287998</v>
      </c>
      <c r="M166" s="10">
        <v>-1.56218146946258</v>
      </c>
      <c r="N166" s="13"/>
      <c r="O166" s="10">
        <v>14.615201415450899</v>
      </c>
      <c r="P166" s="10">
        <v>50.380863520526603</v>
      </c>
      <c r="Q166" s="10">
        <v>-1.25436750599798</v>
      </c>
      <c r="R166" s="13"/>
      <c r="S166" s="20">
        <v>-1.5707963267949001</v>
      </c>
      <c r="T166" s="13"/>
      <c r="U166" s="13">
        <f t="shared" si="23"/>
        <v>0</v>
      </c>
      <c r="V166" s="13">
        <f t="shared" si="24"/>
        <v>-1.9579019225749479</v>
      </c>
      <c r="W166" s="13">
        <f t="shared" si="25"/>
        <v>0.49359496624927574</v>
      </c>
      <c r="X166" s="13">
        <f t="shared" si="26"/>
        <v>18.130035947964974</v>
      </c>
      <c r="Z166" t="str">
        <f t="shared" si="27"/>
        <v>1.90909090909095,62.0597014925373</v>
      </c>
      <c r="AA166" t="str">
        <f t="shared" si="28"/>
        <v>2.55261218718414,64.2192558509858</v>
      </c>
      <c r="AB166" t="str">
        <f t="shared" si="29"/>
        <v>0.976271342790381,63.954181417288</v>
      </c>
      <c r="AC166" t="str">
        <f t="shared" si="30"/>
        <v>14.6152014154509,50.3808635205266</v>
      </c>
    </row>
    <row r="167" spans="2:29" x14ac:dyDescent="0.2">
      <c r="B167" s="3">
        <v>165</v>
      </c>
      <c r="C167" s="6">
        <v>0.954545454545491</v>
      </c>
      <c r="D167" s="6">
        <v>62.0597014925373</v>
      </c>
      <c r="E167" s="8">
        <v>-1.5707963267949001</v>
      </c>
      <c r="F167" s="7"/>
      <c r="G167" s="10">
        <v>1.5986239965998801</v>
      </c>
      <c r="H167" s="10">
        <v>64.251868072915002</v>
      </c>
      <c r="I167" s="10">
        <v>-0.94137846037786699</v>
      </c>
      <c r="K167" s="10">
        <v>2.1761309187313199E-2</v>
      </c>
      <c r="L167" s="10">
        <v>63.9459582460956</v>
      </c>
      <c r="M167" s="10">
        <v>-0.94137846037786699</v>
      </c>
      <c r="N167" s="13"/>
      <c r="O167" s="10">
        <v>13.708046530792901</v>
      </c>
      <c r="P167" s="10">
        <v>50.083833151650801</v>
      </c>
      <c r="Q167" s="10">
        <v>-0.53026924581328405</v>
      </c>
      <c r="R167" s="13"/>
      <c r="S167" s="20">
        <v>-1.5707963267949001</v>
      </c>
      <c r="T167" s="13"/>
      <c r="U167" s="13">
        <f t="shared" si="23"/>
        <v>0</v>
      </c>
      <c r="V167" s="13">
        <f t="shared" si="24"/>
        <v>36.062987295825032</v>
      </c>
      <c r="W167" s="13">
        <f t="shared" si="25"/>
        <v>36.062987295825032</v>
      </c>
      <c r="X167" s="13">
        <f t="shared" si="26"/>
        <v>59.617810209313831</v>
      </c>
      <c r="Z167" t="str">
        <f t="shared" si="27"/>
        <v>0.954545454545491,62.0597014925373</v>
      </c>
      <c r="AA167" t="str">
        <f t="shared" si="28"/>
        <v>1.59862399659988,64.251868072915</v>
      </c>
      <c r="AB167" t="str">
        <f t="shared" si="29"/>
        <v>0.0217613091873132,63.9459582460956</v>
      </c>
      <c r="AC167" t="str">
        <f t="shared" si="30"/>
        <v>13.7080465307929,50.0838331516508</v>
      </c>
    </row>
    <row r="168" spans="2:29" x14ac:dyDescent="0.2">
      <c r="B168" s="3">
        <v>166</v>
      </c>
      <c r="C168" s="6">
        <v>0.954545454545491</v>
      </c>
      <c r="D168" s="6">
        <v>62.0597014925373</v>
      </c>
      <c r="E168" s="8">
        <v>0</v>
      </c>
      <c r="F168" s="7"/>
      <c r="G168" s="10">
        <v>1.5986239965998801</v>
      </c>
      <c r="H168" s="10">
        <v>64.251868072915002</v>
      </c>
      <c r="I168" s="10">
        <v>-0.14289595500758601</v>
      </c>
      <c r="K168" s="10">
        <v>2.1761309187313199E-2</v>
      </c>
      <c r="L168" s="10">
        <v>63.9459582460956</v>
      </c>
      <c r="M168" s="10">
        <v>-0.14289595500758601</v>
      </c>
      <c r="N168" s="13"/>
      <c r="O168" s="10">
        <v>13.708046530792901</v>
      </c>
      <c r="P168" s="10">
        <v>50.083833151650801</v>
      </c>
      <c r="Q168" s="10">
        <v>9.5511892590444597E-2</v>
      </c>
      <c r="R168" s="13"/>
      <c r="S168" s="20">
        <v>0</v>
      </c>
      <c r="T168" s="13"/>
      <c r="U168" s="13">
        <f t="shared" si="23"/>
        <v>0</v>
      </c>
      <c r="V168" s="13">
        <f t="shared" si="24"/>
        <v>-8.1873351314259786</v>
      </c>
      <c r="W168" s="13">
        <f t="shared" si="25"/>
        <v>-8.1873351314259786</v>
      </c>
      <c r="X168" s="13">
        <f t="shared" si="26"/>
        <v>5.4724283387393156</v>
      </c>
      <c r="Z168" t="str">
        <f t="shared" si="27"/>
        <v>0.954545454545491,62.0597014925373</v>
      </c>
      <c r="AA168" t="str">
        <f t="shared" si="28"/>
        <v>1.59862399659988,64.251868072915</v>
      </c>
      <c r="AB168" t="str">
        <f t="shared" si="29"/>
        <v>0.0217613091873132,63.9459582460956</v>
      </c>
      <c r="AC168" t="str">
        <f t="shared" si="30"/>
        <v>13.7080465307929,50.0838331516508</v>
      </c>
    </row>
    <row r="169" spans="2:29" x14ac:dyDescent="0.2">
      <c r="B169" s="3">
        <v>167</v>
      </c>
      <c r="C169" s="6">
        <v>0.954545454545491</v>
      </c>
      <c r="D169" s="6">
        <v>61.0597014925373</v>
      </c>
      <c r="E169" s="8">
        <v>0</v>
      </c>
      <c r="F169" s="7"/>
      <c r="G169" s="10">
        <v>1.4562138501336901</v>
      </c>
      <c r="H169" s="10">
        <v>63.262060338966897</v>
      </c>
      <c r="I169" s="10">
        <v>1.38269190816128E-3</v>
      </c>
      <c r="K169" s="10">
        <v>-0.120648837278882</v>
      </c>
      <c r="L169" s="10">
        <v>62.956150512147502</v>
      </c>
      <c r="M169" s="10">
        <v>1.38269190816128E-3</v>
      </c>
      <c r="N169" s="13"/>
      <c r="O169" s="10">
        <v>13.8034132713891</v>
      </c>
      <c r="P169" s="10">
        <v>49.088390946001397</v>
      </c>
      <c r="Q169" s="10">
        <v>0.21278426963895899</v>
      </c>
      <c r="R169" s="13"/>
      <c r="S169" s="20">
        <v>0</v>
      </c>
      <c r="T169" s="13"/>
      <c r="U169" s="13">
        <f t="shared" si="23"/>
        <v>0</v>
      </c>
      <c r="V169" s="13">
        <f t="shared" si="24"/>
        <v>7.9222410704531773E-2</v>
      </c>
      <c r="W169" s="13">
        <f t="shared" si="25"/>
        <v>7.9222410704531773E-2</v>
      </c>
      <c r="X169" s="13">
        <f t="shared" si="26"/>
        <v>12.191640597086053</v>
      </c>
      <c r="Z169" t="str">
        <f t="shared" si="27"/>
        <v>0.954545454545491,61.0597014925373</v>
      </c>
      <c r="AA169" t="str">
        <f t="shared" si="28"/>
        <v>1.45621385013369,63.2620603389669</v>
      </c>
      <c r="AB169" t="str">
        <f t="shared" si="29"/>
        <v>-0.120648837278882,62.9561505121475</v>
      </c>
      <c r="AC169" t="str">
        <f t="shared" si="30"/>
        <v>13.8034132713891,49.0883909460014</v>
      </c>
    </row>
    <row r="170" spans="2:29" x14ac:dyDescent="0.2">
      <c r="B170" s="3">
        <v>168</v>
      </c>
      <c r="C170" s="6">
        <v>0.954545454545491</v>
      </c>
      <c r="D170" s="6">
        <v>60.0597014925373</v>
      </c>
      <c r="E170" s="8">
        <v>0</v>
      </c>
      <c r="F170" s="7"/>
      <c r="G170" s="10">
        <v>1.4575965416012699</v>
      </c>
      <c r="H170" s="10">
        <v>62.2620612948852</v>
      </c>
      <c r="I170" s="10">
        <v>1.38269190816128E-3</v>
      </c>
      <c r="K170" s="10">
        <v>-0.119266145811301</v>
      </c>
      <c r="L170" s="10">
        <v>61.956151468065798</v>
      </c>
      <c r="M170" s="10">
        <v>-3.6404276395240402E-2</v>
      </c>
      <c r="N170" s="13"/>
      <c r="O170" s="10">
        <v>14.0145954614923</v>
      </c>
      <c r="P170" s="10">
        <v>48.110944230019797</v>
      </c>
      <c r="Q170" s="10">
        <v>0.20102701246989599</v>
      </c>
      <c r="R170" s="13"/>
      <c r="S170" s="20">
        <v>0</v>
      </c>
      <c r="T170" s="13"/>
      <c r="U170" s="13">
        <f t="shared" si="23"/>
        <v>0</v>
      </c>
      <c r="V170" s="13">
        <f t="shared" si="24"/>
        <v>7.9222410704531773E-2</v>
      </c>
      <c r="W170" s="13">
        <f t="shared" si="25"/>
        <v>-2.0858113936750016</v>
      </c>
      <c r="X170" s="13">
        <f t="shared" si="26"/>
        <v>11.51799938264881</v>
      </c>
      <c r="Z170" t="str">
        <f t="shared" si="27"/>
        <v>0.954545454545491,60.0597014925373</v>
      </c>
      <c r="AA170" t="str">
        <f t="shared" si="28"/>
        <v>1.45759654160127,62.2620612948852</v>
      </c>
      <c r="AB170" t="str">
        <f t="shared" si="29"/>
        <v>-0.119266145811301,61.9561514680658</v>
      </c>
      <c r="AC170" t="str">
        <f t="shared" si="30"/>
        <v>14.0145954614923,48.1109442300198</v>
      </c>
    </row>
    <row r="171" spans="2:29" x14ac:dyDescent="0.2">
      <c r="B171" s="3">
        <v>169</v>
      </c>
      <c r="C171" s="6">
        <v>0.954545454545491</v>
      </c>
      <c r="D171" s="6">
        <v>59.0597014925373</v>
      </c>
      <c r="E171" s="8">
        <v>0</v>
      </c>
      <c r="F171" s="7"/>
      <c r="G171" s="10">
        <v>1.45897923306885</v>
      </c>
      <c r="H171" s="10">
        <v>61.262062250803503</v>
      </c>
      <c r="I171" s="10">
        <v>-3.6404276395240402E-2</v>
      </c>
      <c r="K171" s="10">
        <v>-0.155662381815319</v>
      </c>
      <c r="L171" s="10">
        <v>60.956814030557901</v>
      </c>
      <c r="M171" s="10">
        <v>-1.40601472495691E-2</v>
      </c>
      <c r="N171" s="13"/>
      <c r="O171" s="10">
        <v>14.2142712279335</v>
      </c>
      <c r="P171" s="10">
        <v>47.131082204887598</v>
      </c>
      <c r="Q171" s="10">
        <v>0.2332540250704</v>
      </c>
      <c r="R171" s="13"/>
      <c r="S171" s="20">
        <v>0</v>
      </c>
      <c r="T171" s="13"/>
      <c r="U171" s="13">
        <f t="shared" si="23"/>
        <v>0</v>
      </c>
      <c r="V171" s="13">
        <f t="shared" si="24"/>
        <v>-2.0858113936750016</v>
      </c>
      <c r="W171" s="13">
        <f t="shared" si="25"/>
        <v>-0.80558709673278195</v>
      </c>
      <c r="X171" s="13">
        <f t="shared" si="26"/>
        <v>13.364471190972615</v>
      </c>
      <c r="Z171" t="str">
        <f t="shared" si="27"/>
        <v>0.954545454545491,59.0597014925373</v>
      </c>
      <c r="AA171" t="str">
        <f t="shared" si="28"/>
        <v>1.45897923306885,61.2620622508035</v>
      </c>
      <c r="AB171" t="str">
        <f t="shared" si="29"/>
        <v>-0.155662381815319,60.9568140305579</v>
      </c>
      <c r="AC171" t="str">
        <f t="shared" si="30"/>
        <v>14.2142712279335,47.1310822048876</v>
      </c>
    </row>
    <row r="172" spans="2:29" x14ac:dyDescent="0.2">
      <c r="B172" s="3">
        <v>170</v>
      </c>
      <c r="C172" s="6">
        <v>0.954545454545491</v>
      </c>
      <c r="D172" s="6">
        <v>58.0597014925373</v>
      </c>
      <c r="E172" s="8">
        <v>0</v>
      </c>
      <c r="F172" s="7"/>
      <c r="G172" s="10">
        <v>1.42258299706483</v>
      </c>
      <c r="H172" s="10">
        <v>60.262724813295698</v>
      </c>
      <c r="I172" s="10">
        <v>-1.40601472495691E-2</v>
      </c>
      <c r="K172" s="10">
        <v>-0.169722065816343</v>
      </c>
      <c r="L172" s="10">
        <v>59.956912872799897</v>
      </c>
      <c r="M172" s="10">
        <v>1.0053695767158199E-2</v>
      </c>
      <c r="N172" s="13"/>
      <c r="O172" s="10">
        <v>14.4454158737475</v>
      </c>
      <c r="P172" s="10">
        <v>46.158162808066102</v>
      </c>
      <c r="Q172" s="10">
        <v>0.246889788083346</v>
      </c>
      <c r="R172" s="13"/>
      <c r="S172" s="20">
        <v>0</v>
      </c>
      <c r="T172" s="13"/>
      <c r="U172" s="13">
        <f t="shared" si="23"/>
        <v>0</v>
      </c>
      <c r="V172" s="13">
        <f t="shared" si="24"/>
        <v>-0.80558709673278195</v>
      </c>
      <c r="W172" s="13">
        <f t="shared" si="25"/>
        <v>0.57603433596670528</v>
      </c>
      <c r="X172" s="13">
        <f t="shared" si="26"/>
        <v>14.145742862055013</v>
      </c>
      <c r="Z172" t="str">
        <f t="shared" si="27"/>
        <v>0.954545454545491,58.0597014925373</v>
      </c>
      <c r="AA172" t="str">
        <f t="shared" si="28"/>
        <v>1.42258299706483,60.2627248132957</v>
      </c>
      <c r="AB172" t="str">
        <f t="shared" si="29"/>
        <v>-0.169722065816343,59.9569128727999</v>
      </c>
      <c r="AC172" t="str">
        <f t="shared" si="30"/>
        <v>14.4454158737475,46.1581628080661</v>
      </c>
    </row>
    <row r="173" spans="2:29" x14ac:dyDescent="0.2">
      <c r="B173" s="3">
        <v>171</v>
      </c>
      <c r="C173" s="6">
        <v>0.954545454545491</v>
      </c>
      <c r="D173" s="6">
        <v>57.0597014925373</v>
      </c>
      <c r="E173" s="8">
        <v>0</v>
      </c>
      <c r="F173" s="7"/>
      <c r="G173" s="10">
        <v>1.40852331306381</v>
      </c>
      <c r="H173" s="10">
        <v>59.262823655537602</v>
      </c>
      <c r="I173" s="10">
        <v>1.0053695767158199E-2</v>
      </c>
      <c r="K173" s="10">
        <v>-0.15966853941422601</v>
      </c>
      <c r="L173" s="10">
        <v>58.956963410773497</v>
      </c>
      <c r="M173" s="10">
        <v>-2.4448639944572099E-2</v>
      </c>
      <c r="N173" s="13"/>
      <c r="O173" s="10">
        <v>14.689805118280299</v>
      </c>
      <c r="P173" s="10">
        <v>45.188485595197498</v>
      </c>
      <c r="Q173" s="10">
        <v>0.217161899322216</v>
      </c>
      <c r="R173" s="13"/>
      <c r="S173" s="20">
        <v>0</v>
      </c>
      <c r="T173" s="13"/>
      <c r="U173" s="13">
        <f t="shared" si="23"/>
        <v>0</v>
      </c>
      <c r="V173" s="13">
        <f t="shared" si="24"/>
        <v>0.57603433596670528</v>
      </c>
      <c r="W173" s="13">
        <f t="shared" si="25"/>
        <v>-1.4008038836589403</v>
      </c>
      <c r="X173" s="13">
        <f t="shared" si="26"/>
        <v>12.442460302207868</v>
      </c>
      <c r="Z173" t="str">
        <f t="shared" si="27"/>
        <v>0.954545454545491,57.0597014925373</v>
      </c>
      <c r="AA173" t="str">
        <f t="shared" si="28"/>
        <v>1.40852331306381,59.2628236555376</v>
      </c>
      <c r="AB173" t="str">
        <f t="shared" si="29"/>
        <v>-0.159668539414226,58.9569634107735</v>
      </c>
      <c r="AC173" t="str">
        <f t="shared" si="30"/>
        <v>14.6898051182803,45.1884855951975</v>
      </c>
    </row>
    <row r="174" spans="2:29" x14ac:dyDescent="0.2">
      <c r="B174" s="3">
        <v>172</v>
      </c>
      <c r="C174" s="6">
        <v>0.954545454545491</v>
      </c>
      <c r="D174" s="6">
        <v>56.0597014925373</v>
      </c>
      <c r="E174" s="8">
        <v>0</v>
      </c>
      <c r="F174" s="7"/>
      <c r="G174" s="10">
        <v>1.4185768394659199</v>
      </c>
      <c r="H174" s="10">
        <v>58.262874193511202</v>
      </c>
      <c r="I174" s="10">
        <v>-2.4448639944572099E-2</v>
      </c>
      <c r="K174" s="10">
        <v>-0.18411474379290299</v>
      </c>
      <c r="L174" s="10">
        <v>57.957262263884402</v>
      </c>
      <c r="M174" s="10">
        <v>1.9473620765133801E-2</v>
      </c>
      <c r="N174" s="13"/>
      <c r="O174" s="10">
        <v>14.9052641709679</v>
      </c>
      <c r="P174" s="10">
        <v>44.211972719391497</v>
      </c>
      <c r="Q174" s="10">
        <v>0.26909322760083598</v>
      </c>
      <c r="R174" s="13"/>
      <c r="S174" s="20">
        <v>0</v>
      </c>
      <c r="T174" s="13"/>
      <c r="U174" s="13">
        <f t="shared" si="23"/>
        <v>0</v>
      </c>
      <c r="V174" s="13">
        <f t="shared" si="24"/>
        <v>-1.4008038836589403</v>
      </c>
      <c r="W174" s="13">
        <f t="shared" si="25"/>
        <v>1.1157562816804876</v>
      </c>
      <c r="X174" s="13">
        <f t="shared" si="26"/>
        <v>15.417906237081178</v>
      </c>
      <c r="Z174" t="str">
        <f t="shared" si="27"/>
        <v>0.954545454545491,56.0597014925373</v>
      </c>
      <c r="AA174" t="str">
        <f t="shared" si="28"/>
        <v>1.41857683946592,58.2628741935112</v>
      </c>
      <c r="AB174" t="str">
        <f t="shared" si="29"/>
        <v>-0.184114743792903,57.9572622638844</v>
      </c>
      <c r="AC174" t="str">
        <f t="shared" si="30"/>
        <v>14.9052641709679,44.2119727193915</v>
      </c>
    </row>
    <row r="175" spans="2:29" x14ac:dyDescent="0.2">
      <c r="B175" s="3">
        <v>173</v>
      </c>
      <c r="C175" s="6">
        <v>0.954545454545491</v>
      </c>
      <c r="D175" s="6">
        <v>55.0597014925373</v>
      </c>
      <c r="E175" s="8">
        <v>0</v>
      </c>
      <c r="F175" s="7"/>
      <c r="G175" s="10">
        <v>1.39413063508725</v>
      </c>
      <c r="H175" s="10">
        <v>57.2631730466221</v>
      </c>
      <c r="I175" s="10">
        <v>1.9473620765133801E-2</v>
      </c>
      <c r="K175" s="10">
        <v>-0.16464235380836101</v>
      </c>
      <c r="L175" s="10">
        <v>56.957451868845297</v>
      </c>
      <c r="M175" s="10">
        <v>-1.3173115092673399E-2</v>
      </c>
      <c r="N175" s="13"/>
      <c r="O175" s="10">
        <v>15.1711215772704</v>
      </c>
      <c r="P175" s="10">
        <v>43.2479603545776</v>
      </c>
      <c r="Q175" s="10">
        <v>0.224935662577257</v>
      </c>
      <c r="R175" s="13"/>
      <c r="S175" s="20">
        <v>0</v>
      </c>
      <c r="T175" s="13"/>
      <c r="U175" s="13">
        <f t="shared" si="23"/>
        <v>0</v>
      </c>
      <c r="V175" s="13">
        <f t="shared" si="24"/>
        <v>1.1157562816804876</v>
      </c>
      <c r="W175" s="13">
        <f t="shared" si="25"/>
        <v>-0.75476389785027209</v>
      </c>
      <c r="X175" s="13">
        <f t="shared" si="26"/>
        <v>12.8878641276556</v>
      </c>
      <c r="Z175" t="str">
        <f t="shared" si="27"/>
        <v>0.954545454545491,55.0597014925373</v>
      </c>
      <c r="AA175" t="str">
        <f t="shared" si="28"/>
        <v>1.39413063508725,57.2631730466221</v>
      </c>
      <c r="AB175" t="str">
        <f t="shared" si="29"/>
        <v>-0.164642353808361,56.9574518688453</v>
      </c>
      <c r="AC175" t="str">
        <f t="shared" si="30"/>
        <v>15.1711215772704,43.2479603545776</v>
      </c>
    </row>
    <row r="176" spans="2:29" x14ac:dyDescent="0.2">
      <c r="B176" s="3">
        <v>174</v>
      </c>
      <c r="C176" s="6">
        <v>0.954545454545491</v>
      </c>
      <c r="D176" s="6">
        <v>54.0597014925373</v>
      </c>
      <c r="E176" s="8">
        <v>0</v>
      </c>
      <c r="F176" s="7"/>
      <c r="G176" s="10">
        <v>1.4136030250717899</v>
      </c>
      <c r="H176" s="10">
        <v>56.263362651583002</v>
      </c>
      <c r="I176" s="10">
        <v>-1.3173115092673399E-2</v>
      </c>
      <c r="K176" s="10">
        <v>-0.177815087913786</v>
      </c>
      <c r="L176" s="10">
        <v>55.957538633071202</v>
      </c>
      <c r="M176" s="10">
        <v>1.07813254560719E-2</v>
      </c>
      <c r="N176" s="13"/>
      <c r="O176" s="10">
        <v>15.3941652231999</v>
      </c>
      <c r="P176" s="10">
        <v>42.273151895437799</v>
      </c>
      <c r="Q176" s="10">
        <v>0.223223975980536</v>
      </c>
      <c r="R176" s="13"/>
      <c r="S176" s="20">
        <v>0</v>
      </c>
      <c r="T176" s="13"/>
      <c r="U176" s="13">
        <f t="shared" si="23"/>
        <v>0</v>
      </c>
      <c r="V176" s="13">
        <f t="shared" si="24"/>
        <v>-0.75476389785027209</v>
      </c>
      <c r="W176" s="13">
        <f t="shared" si="25"/>
        <v>0.61772444618987732</v>
      </c>
      <c r="X176" s="13">
        <f t="shared" si="26"/>
        <v>12.789791709814377</v>
      </c>
      <c r="Z176" t="str">
        <f t="shared" si="27"/>
        <v>0.954545454545491,54.0597014925373</v>
      </c>
      <c r="AA176" t="str">
        <f t="shared" si="28"/>
        <v>1.41360302507179,56.263362651583</v>
      </c>
      <c r="AB176" t="str">
        <f t="shared" si="29"/>
        <v>-0.177815087913786,55.9575386330712</v>
      </c>
      <c r="AC176" t="str">
        <f t="shared" si="30"/>
        <v>15.3941652231999,42.2731518954378</v>
      </c>
    </row>
    <row r="177" spans="2:29" x14ac:dyDescent="0.2">
      <c r="B177" s="3">
        <v>175</v>
      </c>
      <c r="C177" s="6">
        <v>0.954545454545491</v>
      </c>
      <c r="D177" s="6">
        <v>53.0597014925373</v>
      </c>
      <c r="E177" s="8">
        <v>0</v>
      </c>
      <c r="F177" s="7"/>
      <c r="G177" s="10">
        <v>1.40043029096636</v>
      </c>
      <c r="H177" s="10">
        <v>55.2634494158089</v>
      </c>
      <c r="I177" s="10">
        <v>1.07813254560719E-2</v>
      </c>
      <c r="K177" s="10">
        <v>-0.167033971321283</v>
      </c>
      <c r="L177" s="10">
        <v>54.957596750997503</v>
      </c>
      <c r="M177" s="10">
        <v>-3.52691618243616E-2</v>
      </c>
      <c r="N177" s="13"/>
      <c r="O177" s="10">
        <v>15.615539976625801</v>
      </c>
      <c r="P177" s="10">
        <v>41.297963083696402</v>
      </c>
      <c r="Q177" s="10">
        <v>0.19567939183785099</v>
      </c>
      <c r="R177" s="13"/>
      <c r="S177" s="20">
        <v>0</v>
      </c>
      <c r="T177" s="13"/>
      <c r="U177" s="13">
        <f t="shared" si="23"/>
        <v>0</v>
      </c>
      <c r="V177" s="13">
        <f t="shared" si="24"/>
        <v>0.61772444618987732</v>
      </c>
      <c r="W177" s="13">
        <f t="shared" si="25"/>
        <v>-2.0207741194998423</v>
      </c>
      <c r="X177" s="13">
        <f t="shared" si="26"/>
        <v>11.21160328999555</v>
      </c>
      <c r="Z177" t="str">
        <f t="shared" si="27"/>
        <v>0.954545454545491,53.0597014925373</v>
      </c>
      <c r="AA177" t="str">
        <f t="shared" si="28"/>
        <v>1.40043029096636,55.2634494158089</v>
      </c>
      <c r="AB177" t="str">
        <f t="shared" si="29"/>
        <v>-0.167033971321283,54.9575967509975</v>
      </c>
      <c r="AC177" t="str">
        <f t="shared" si="30"/>
        <v>15.6155399766258,41.2979630836964</v>
      </c>
    </row>
    <row r="178" spans="2:29" x14ac:dyDescent="0.2">
      <c r="B178" s="3">
        <v>176</v>
      </c>
      <c r="C178" s="6">
        <v>0.954545454545491</v>
      </c>
      <c r="D178" s="6">
        <v>52.0597014925373</v>
      </c>
      <c r="E178" s="8">
        <v>0</v>
      </c>
      <c r="F178" s="7"/>
      <c r="G178" s="10">
        <v>1.41121140755887</v>
      </c>
      <c r="H178" s="10">
        <v>54.263507533735201</v>
      </c>
      <c r="I178" s="10">
        <v>-3.52691618243616E-2</v>
      </c>
      <c r="K178" s="10">
        <v>-0.20229582163436199</v>
      </c>
      <c r="L178" s="10">
        <v>53.958218643416402</v>
      </c>
      <c r="M178" s="10">
        <v>3.4169047684776403E-2</v>
      </c>
      <c r="N178" s="13"/>
      <c r="O178" s="10">
        <v>15.8099729825975</v>
      </c>
      <c r="P178" s="10">
        <v>40.317047283951602</v>
      </c>
      <c r="Q178" s="10">
        <v>0.24815126819611899</v>
      </c>
      <c r="R178" s="13"/>
      <c r="S178" s="20">
        <v>0</v>
      </c>
      <c r="T178" s="13"/>
      <c r="U178" s="13">
        <f t="shared" si="23"/>
        <v>0</v>
      </c>
      <c r="V178" s="13">
        <f t="shared" si="24"/>
        <v>-2.0207741194998423</v>
      </c>
      <c r="W178" s="13">
        <f t="shared" si="25"/>
        <v>1.9577422223189447</v>
      </c>
      <c r="X178" s="13">
        <f t="shared" si="26"/>
        <v>14.218020348456591</v>
      </c>
      <c r="Z178" t="str">
        <f t="shared" si="27"/>
        <v>0.954545454545491,52.0597014925373</v>
      </c>
      <c r="AA178" t="str">
        <f t="shared" si="28"/>
        <v>1.41121140755887,54.2635075337352</v>
      </c>
      <c r="AB178" t="str">
        <f t="shared" si="29"/>
        <v>-0.202295821634362,53.9582186434164</v>
      </c>
      <c r="AC178" t="str">
        <f t="shared" si="30"/>
        <v>15.8099729825975,40.3170472839516</v>
      </c>
    </row>
    <row r="179" spans="2:29" x14ac:dyDescent="0.2">
      <c r="B179" s="3">
        <v>177</v>
      </c>
      <c r="C179" s="6">
        <v>0.954545454545491</v>
      </c>
      <c r="D179" s="6">
        <v>51.0597014925373</v>
      </c>
      <c r="E179" s="8">
        <v>0</v>
      </c>
      <c r="F179" s="7"/>
      <c r="G179" s="10">
        <v>1.37594955724579</v>
      </c>
      <c r="H179" s="10">
        <v>53.264129426154099</v>
      </c>
      <c r="I179" s="10">
        <v>3.4169047684776403E-2</v>
      </c>
      <c r="K179" s="10">
        <v>-0.16813342242430601</v>
      </c>
      <c r="L179" s="10">
        <v>52.958802348532103</v>
      </c>
      <c r="M179" s="10">
        <v>-2.43559631972479E-3</v>
      </c>
      <c r="N179" s="13"/>
      <c r="O179" s="10">
        <v>16.055585260873499</v>
      </c>
      <c r="P179" s="10">
        <v>39.347679134712102</v>
      </c>
      <c r="Q179" s="10">
        <v>0.22852547628615899</v>
      </c>
      <c r="R179" s="13"/>
      <c r="S179" s="20">
        <v>0</v>
      </c>
      <c r="T179" s="13"/>
      <c r="U179" s="13">
        <f t="shared" si="23"/>
        <v>0</v>
      </c>
      <c r="V179" s="13">
        <f t="shared" si="24"/>
        <v>1.9577422223189447</v>
      </c>
      <c r="W179" s="13">
        <f t="shared" si="25"/>
        <v>-0.13954938971782632</v>
      </c>
      <c r="X179" s="13">
        <f t="shared" si="26"/>
        <v>13.093545302413888</v>
      </c>
      <c r="Z179" t="str">
        <f t="shared" si="27"/>
        <v>0.954545454545491,51.0597014925373</v>
      </c>
      <c r="AA179" t="str">
        <f t="shared" si="28"/>
        <v>1.37594955724579,53.2641294261541</v>
      </c>
      <c r="AB179" t="str">
        <f t="shared" si="29"/>
        <v>-0.168133422424306,52.9588023485321</v>
      </c>
      <c r="AC179" t="str">
        <f t="shared" si="30"/>
        <v>16.0555852608735,39.3476791347121</v>
      </c>
    </row>
    <row r="180" spans="2:29" x14ac:dyDescent="0.2">
      <c r="B180" s="3">
        <v>178</v>
      </c>
      <c r="C180" s="6">
        <v>0.954545454545491</v>
      </c>
      <c r="D180" s="6">
        <v>50.0597014925373</v>
      </c>
      <c r="E180" s="8">
        <v>0</v>
      </c>
      <c r="F180" s="7"/>
      <c r="G180" s="10">
        <v>1.41011195645584</v>
      </c>
      <c r="H180" s="10">
        <v>52.264713131269801</v>
      </c>
      <c r="I180" s="10">
        <v>-2.43559631972479E-3</v>
      </c>
      <c r="K180" s="10">
        <v>-0.17056901633598601</v>
      </c>
      <c r="L180" s="10">
        <v>51.958805314595303</v>
      </c>
      <c r="M180" s="10">
        <v>4.0460525915635898E-2</v>
      </c>
      <c r="N180" s="13"/>
      <c r="O180" s="10">
        <v>16.282126842903502</v>
      </c>
      <c r="P180" s="10">
        <v>38.373677640046303</v>
      </c>
      <c r="Q180" s="10">
        <v>0.25588803538771299</v>
      </c>
      <c r="R180" s="13"/>
      <c r="S180" s="20">
        <v>0</v>
      </c>
      <c r="T180" s="13"/>
      <c r="U180" s="13">
        <f t="shared" si="23"/>
        <v>0</v>
      </c>
      <c r="V180" s="13">
        <f t="shared" si="24"/>
        <v>-0.13954938971782632</v>
      </c>
      <c r="W180" s="13">
        <f t="shared" si="25"/>
        <v>2.3182173718456278</v>
      </c>
      <c r="X180" s="13">
        <f t="shared" si="26"/>
        <v>14.66130445561021</v>
      </c>
      <c r="Z180" t="str">
        <f t="shared" si="27"/>
        <v>0.954545454545491,50.0597014925373</v>
      </c>
      <c r="AA180" t="str">
        <f t="shared" si="28"/>
        <v>1.41011195645584,52.2647131312698</v>
      </c>
      <c r="AB180" t="str">
        <f t="shared" si="29"/>
        <v>-0.170569016335986,51.9588053145953</v>
      </c>
      <c r="AC180" t="str">
        <f t="shared" si="30"/>
        <v>16.2821268429035,38.3736776400463</v>
      </c>
    </row>
    <row r="181" spans="2:29" x14ac:dyDescent="0.2">
      <c r="B181" s="3">
        <v>179</v>
      </c>
      <c r="C181" s="6">
        <v>0.954545454545491</v>
      </c>
      <c r="D181" s="6">
        <v>49.0597014925373</v>
      </c>
      <c r="E181" s="8">
        <v>0</v>
      </c>
      <c r="F181" s="7"/>
      <c r="G181" s="10">
        <v>1.40767636254416</v>
      </c>
      <c r="H181" s="10">
        <v>51.264716097333</v>
      </c>
      <c r="I181" s="10">
        <v>4.0460525915635898E-2</v>
      </c>
      <c r="K181" s="10">
        <v>-0.13011952886214501</v>
      </c>
      <c r="L181" s="10">
        <v>50.9596237300157</v>
      </c>
      <c r="M181" s="10">
        <v>1.1667951692048199E-2</v>
      </c>
      <c r="N181" s="13"/>
      <c r="O181" s="10">
        <v>16.535231471213699</v>
      </c>
      <c r="P181" s="10">
        <v>37.406238728730401</v>
      </c>
      <c r="Q181" s="10">
        <v>0.22590298866143599</v>
      </c>
      <c r="R181" s="13"/>
      <c r="S181" s="20">
        <v>0</v>
      </c>
      <c r="T181" s="13"/>
      <c r="U181" s="13">
        <f t="shared" si="23"/>
        <v>0</v>
      </c>
      <c r="V181" s="13">
        <f t="shared" si="24"/>
        <v>2.3182173718456278</v>
      </c>
      <c r="W181" s="13">
        <f t="shared" si="25"/>
        <v>0.66852438751688947</v>
      </c>
      <c r="X181" s="13">
        <f t="shared" si="26"/>
        <v>12.943287829691972</v>
      </c>
      <c r="Z181" t="str">
        <f t="shared" si="27"/>
        <v>0.954545454545491,49.0597014925373</v>
      </c>
      <c r="AA181" t="str">
        <f t="shared" si="28"/>
        <v>1.40767636254416,51.264716097333</v>
      </c>
      <c r="AB181" t="str">
        <f t="shared" si="29"/>
        <v>-0.130119528862145,50.9596237300157</v>
      </c>
      <c r="AC181" t="str">
        <f t="shared" si="30"/>
        <v>16.5352314712137,37.4062387287304</v>
      </c>
    </row>
    <row r="182" spans="2:29" x14ac:dyDescent="0.2">
      <c r="B182" s="3">
        <v>180</v>
      </c>
      <c r="C182" s="6">
        <v>0.954545454545491</v>
      </c>
      <c r="D182" s="6">
        <v>48.0597014925373</v>
      </c>
      <c r="E182" s="8">
        <v>0</v>
      </c>
      <c r="F182" s="7"/>
      <c r="G182" s="10">
        <v>1.4481258500180001</v>
      </c>
      <c r="H182" s="10">
        <v>50.265534512753398</v>
      </c>
      <c r="I182" s="10">
        <v>1.1667951692048199E-2</v>
      </c>
      <c r="K182" s="10">
        <v>-0.11845184191625099</v>
      </c>
      <c r="L182" s="10">
        <v>49.959691799791798</v>
      </c>
      <c r="M182" s="10">
        <v>1.1451876558619E-2</v>
      </c>
      <c r="N182" s="13"/>
      <c r="O182" s="10">
        <v>16.7592179702926</v>
      </c>
      <c r="P182" s="10">
        <v>36.431646481567299</v>
      </c>
      <c r="Q182" s="10">
        <v>0.21256376382497899</v>
      </c>
      <c r="R182" s="13"/>
      <c r="S182" s="20">
        <v>0</v>
      </c>
      <c r="T182" s="13"/>
      <c r="U182" s="13">
        <f t="shared" si="23"/>
        <v>0</v>
      </c>
      <c r="V182" s="13">
        <f t="shared" si="24"/>
        <v>0.66852438751688947</v>
      </c>
      <c r="W182" s="13">
        <f t="shared" si="25"/>
        <v>0.65614419431367021</v>
      </c>
      <c r="X182" s="13">
        <f t="shared" si="26"/>
        <v>12.179006544586901</v>
      </c>
      <c r="Z182" t="str">
        <f t="shared" si="27"/>
        <v>0.954545454545491,48.0597014925373</v>
      </c>
      <c r="AA182" t="str">
        <f t="shared" si="28"/>
        <v>1.448125850018,50.2655345127534</v>
      </c>
      <c r="AB182" t="str">
        <f t="shared" si="29"/>
        <v>-0.118451841916251,49.9596917997918</v>
      </c>
      <c r="AC182" t="str">
        <f t="shared" si="30"/>
        <v>16.7592179702926,36.4316464815673</v>
      </c>
    </row>
    <row r="183" spans="2:29" x14ac:dyDescent="0.2">
      <c r="B183" s="3">
        <v>181</v>
      </c>
      <c r="C183" s="6">
        <v>0.954545454545491</v>
      </c>
      <c r="D183" s="6">
        <v>47.0597014925373</v>
      </c>
      <c r="E183" s="8">
        <v>0</v>
      </c>
      <c r="F183" s="7"/>
      <c r="G183" s="10">
        <v>1.4597935369638999</v>
      </c>
      <c r="H183" s="10">
        <v>49.265602582529503</v>
      </c>
      <c r="I183" s="10">
        <v>1.1451876558619E-2</v>
      </c>
      <c r="K183" s="10">
        <v>-0.107000215666292</v>
      </c>
      <c r="L183" s="10">
        <v>48.959757371813502</v>
      </c>
      <c r="M183" s="10">
        <v>5.8948033133742202E-2</v>
      </c>
      <c r="N183" s="13"/>
      <c r="O183" s="10">
        <v>16.970184622579598</v>
      </c>
      <c r="P183" s="10">
        <v>35.454153222448497</v>
      </c>
      <c r="Q183" s="10">
        <v>0.25859086148190602</v>
      </c>
      <c r="R183" s="13"/>
      <c r="S183" s="20">
        <v>0</v>
      </c>
      <c r="T183" s="13"/>
      <c r="U183" s="13">
        <f t="shared" si="23"/>
        <v>0</v>
      </c>
      <c r="V183" s="13">
        <f t="shared" si="24"/>
        <v>0.65614419431367021</v>
      </c>
      <c r="W183" s="13">
        <f t="shared" si="25"/>
        <v>3.3774735091607644</v>
      </c>
      <c r="X183" s="13">
        <f t="shared" si="26"/>
        <v>14.816164983565299</v>
      </c>
      <c r="Z183" t="str">
        <f t="shared" si="27"/>
        <v>0.954545454545491,47.0597014925373</v>
      </c>
      <c r="AA183" t="str">
        <f t="shared" si="28"/>
        <v>1.4597935369639,49.2656025825295</v>
      </c>
      <c r="AB183" t="str">
        <f t="shared" si="29"/>
        <v>-0.107000215666292,48.9597573718135</v>
      </c>
      <c r="AC183" t="str">
        <f t="shared" si="30"/>
        <v>16.9701846225796,35.4541532224485</v>
      </c>
    </row>
    <row r="184" spans="2:29" x14ac:dyDescent="0.2">
      <c r="B184" s="3">
        <v>182</v>
      </c>
      <c r="C184" s="6">
        <v>0.954545454545491</v>
      </c>
      <c r="D184" s="6">
        <v>46.0597014925373</v>
      </c>
      <c r="E184" s="8">
        <v>0</v>
      </c>
      <c r="F184" s="7"/>
      <c r="G184" s="10">
        <v>1.4712451632138599</v>
      </c>
      <c r="H184" s="10">
        <v>48.2656681545512</v>
      </c>
      <c r="I184" s="10">
        <v>5.8948033133742202E-2</v>
      </c>
      <c r="K184" s="10">
        <v>-4.8086316066175097E-2</v>
      </c>
      <c r="L184" s="10">
        <v>47.9614943040634</v>
      </c>
      <c r="M184" s="10">
        <v>2.589676084419E-2</v>
      </c>
      <c r="N184" s="13"/>
      <c r="O184" s="10">
        <v>17.225903142341998</v>
      </c>
      <c r="P184" s="10">
        <v>34.4874019417922</v>
      </c>
      <c r="Q184" s="10">
        <v>0.21663113441785201</v>
      </c>
      <c r="R184" s="13"/>
      <c r="S184" s="20">
        <v>0</v>
      </c>
      <c r="T184" s="13"/>
      <c r="U184" s="13">
        <f t="shared" si="23"/>
        <v>0</v>
      </c>
      <c r="V184" s="13">
        <f t="shared" si="24"/>
        <v>3.3774735091607644</v>
      </c>
      <c r="W184" s="13">
        <f t="shared" si="25"/>
        <v>1.4837750994317338</v>
      </c>
      <c r="X184" s="13">
        <f t="shared" si="26"/>
        <v>12.412049713274147</v>
      </c>
      <c r="Z184" t="str">
        <f t="shared" si="27"/>
        <v>0.954545454545491,46.0597014925373</v>
      </c>
      <c r="AA184" t="str">
        <f t="shared" si="28"/>
        <v>1.47124516321386,48.2656681545512</v>
      </c>
      <c r="AB184" t="str">
        <f t="shared" si="29"/>
        <v>-0.0480863160661751,47.9614943040634</v>
      </c>
      <c r="AC184" t="str">
        <f t="shared" si="30"/>
        <v>17.225903142342,34.4874019417922</v>
      </c>
    </row>
    <row r="185" spans="2:29" x14ac:dyDescent="0.2">
      <c r="B185" s="3">
        <v>183</v>
      </c>
      <c r="C185" s="6">
        <v>0.954545454545491</v>
      </c>
      <c r="D185" s="6">
        <v>45.0597014925373</v>
      </c>
      <c r="E185" s="8">
        <v>0</v>
      </c>
      <c r="F185" s="7"/>
      <c r="G185" s="10">
        <v>1.5301590628139701</v>
      </c>
      <c r="H185" s="10">
        <v>47.267405086801098</v>
      </c>
      <c r="I185" s="10">
        <v>2.589676084419E-2</v>
      </c>
      <c r="K185" s="10">
        <v>-2.21924497017989E-2</v>
      </c>
      <c r="L185" s="10">
        <v>46.961829606434897</v>
      </c>
      <c r="M185" s="10">
        <v>-2.3366291399161E-2</v>
      </c>
      <c r="N185" s="13"/>
      <c r="O185" s="10">
        <v>17.440843865942199</v>
      </c>
      <c r="P185" s="10">
        <v>33.510774845435499</v>
      </c>
      <c r="Q185" s="10">
        <v>0.17675317575227001</v>
      </c>
      <c r="R185" s="13"/>
      <c r="S185" s="20">
        <v>0</v>
      </c>
      <c r="T185" s="13"/>
      <c r="U185" s="13">
        <f t="shared" si="23"/>
        <v>0</v>
      </c>
      <c r="V185" s="13">
        <f t="shared" si="24"/>
        <v>1.4837750994317338</v>
      </c>
      <c r="W185" s="13">
        <f t="shared" si="25"/>
        <v>-1.3387898800447606</v>
      </c>
      <c r="X185" s="13">
        <f t="shared" si="26"/>
        <v>10.127210986139151</v>
      </c>
      <c r="Z185" t="str">
        <f t="shared" si="27"/>
        <v>0.954545454545491,45.0597014925373</v>
      </c>
      <c r="AA185" t="str">
        <f t="shared" si="28"/>
        <v>1.53015906281397,47.2674050868011</v>
      </c>
      <c r="AB185" t="str">
        <f t="shared" si="29"/>
        <v>-0.0221924497017989,46.9618296064349</v>
      </c>
      <c r="AC185" t="str">
        <f t="shared" si="30"/>
        <v>17.4408438659422,33.5107748454355</v>
      </c>
    </row>
    <row r="186" spans="2:29" x14ac:dyDescent="0.2">
      <c r="B186" s="3">
        <v>184</v>
      </c>
      <c r="C186" s="6">
        <v>0.954545454545491</v>
      </c>
      <c r="D186" s="6">
        <v>44.0597014925373</v>
      </c>
      <c r="E186" s="8">
        <v>0</v>
      </c>
      <c r="F186" s="7"/>
      <c r="G186" s="10">
        <v>1.55605292917835</v>
      </c>
      <c r="H186" s="10">
        <v>46.267740389172602</v>
      </c>
      <c r="I186" s="10">
        <v>-2.3366291399161E-2</v>
      </c>
      <c r="K186" s="10">
        <v>-4.55566148904573E-2</v>
      </c>
      <c r="L186" s="10">
        <v>45.962102585801198</v>
      </c>
      <c r="M186" s="10">
        <v>-3.7592849564427898E-2</v>
      </c>
      <c r="N186" s="13"/>
      <c r="O186" s="10">
        <v>17.616678133770598</v>
      </c>
      <c r="P186" s="10">
        <v>32.526355061879002</v>
      </c>
      <c r="Q186" s="10">
        <v>0.191600704763914</v>
      </c>
      <c r="R186" s="13"/>
      <c r="S186" s="20">
        <v>0</v>
      </c>
      <c r="T186" s="13"/>
      <c r="U186" s="13">
        <f t="shared" si="23"/>
        <v>0</v>
      </c>
      <c r="V186" s="13">
        <f t="shared" si="24"/>
        <v>-1.3387898800447606</v>
      </c>
      <c r="W186" s="13">
        <f t="shared" si="25"/>
        <v>-2.1539116199119337</v>
      </c>
      <c r="X186" s="13">
        <f t="shared" si="26"/>
        <v>10.977911734704398</v>
      </c>
      <c r="Z186" t="str">
        <f t="shared" si="27"/>
        <v>0.954545454545491,44.0597014925373</v>
      </c>
      <c r="AA186" t="str">
        <f t="shared" si="28"/>
        <v>1.55605292917835,46.2677403891726</v>
      </c>
      <c r="AB186" t="str">
        <f t="shared" si="29"/>
        <v>-0.0455566148904573,45.9621025858012</v>
      </c>
      <c r="AC186" t="str">
        <f t="shared" si="30"/>
        <v>17.6166781337706,32.526355061879</v>
      </c>
    </row>
    <row r="187" spans="2:29" x14ac:dyDescent="0.2">
      <c r="B187" s="3">
        <v>185</v>
      </c>
      <c r="C187" s="6">
        <v>0.954545454545491</v>
      </c>
      <c r="D187" s="6">
        <v>43.0597014925373</v>
      </c>
      <c r="E187" s="8">
        <v>0</v>
      </c>
      <c r="F187" s="7"/>
      <c r="G187" s="10">
        <v>1.53268876398969</v>
      </c>
      <c r="H187" s="10">
        <v>45.268013368538902</v>
      </c>
      <c r="I187" s="10">
        <v>-3.7592849564427898E-2</v>
      </c>
      <c r="K187" s="10">
        <v>-8.3140610571405704E-2</v>
      </c>
      <c r="L187" s="10">
        <v>44.9628091137578</v>
      </c>
      <c r="M187" s="10">
        <v>-2.0512931518343401E-2</v>
      </c>
      <c r="N187" s="13"/>
      <c r="O187" s="10">
        <v>17.8071086849808</v>
      </c>
      <c r="P187" s="10">
        <v>31.5446543920383</v>
      </c>
      <c r="Q187" s="10">
        <v>0.19727233221995599</v>
      </c>
      <c r="R187" s="13"/>
      <c r="S187" s="20">
        <v>0</v>
      </c>
      <c r="T187" s="13"/>
      <c r="U187" s="13">
        <f t="shared" si="23"/>
        <v>0</v>
      </c>
      <c r="V187" s="13">
        <f t="shared" si="24"/>
        <v>-2.1539116199119337</v>
      </c>
      <c r="W187" s="13">
        <f t="shared" si="25"/>
        <v>-1.1753044014419605</v>
      </c>
      <c r="X187" s="13">
        <f t="shared" si="26"/>
        <v>11.302872050906126</v>
      </c>
      <c r="Z187" t="str">
        <f t="shared" si="27"/>
        <v>0.954545454545491,43.0597014925373</v>
      </c>
      <c r="AA187" t="str">
        <f t="shared" si="28"/>
        <v>1.53268876398969,45.2680133685389</v>
      </c>
      <c r="AB187" t="str">
        <f t="shared" si="29"/>
        <v>-0.0831406105714057,44.9628091137578</v>
      </c>
      <c r="AC187" t="str">
        <f t="shared" si="30"/>
        <v>17.8071086849808,31.5446543920383</v>
      </c>
    </row>
    <row r="188" spans="2:29" x14ac:dyDescent="0.2">
      <c r="B188" s="3">
        <v>186</v>
      </c>
      <c r="C188" s="6">
        <v>0.954545454545491</v>
      </c>
      <c r="D188" s="6">
        <v>42.0597014925373</v>
      </c>
      <c r="E188" s="8">
        <v>0</v>
      </c>
      <c r="F188" s="7"/>
      <c r="G188" s="10">
        <v>1.49510476830874</v>
      </c>
      <c r="H188" s="10">
        <v>44.268719896495497</v>
      </c>
      <c r="I188" s="10">
        <v>-2.0512931518343401E-2</v>
      </c>
      <c r="K188" s="10">
        <v>-0.10365210354689899</v>
      </c>
      <c r="L188" s="10">
        <v>43.9630194965603</v>
      </c>
      <c r="M188" s="10">
        <v>-3.5010483339215498E-2</v>
      </c>
      <c r="N188" s="13"/>
      <c r="O188" s="10">
        <v>18.003103983997601</v>
      </c>
      <c r="P188" s="10">
        <v>30.564049556865999</v>
      </c>
      <c r="Q188" s="10">
        <v>0.18349437644479999</v>
      </c>
      <c r="R188" s="13"/>
      <c r="S188" s="20">
        <v>0</v>
      </c>
      <c r="T188" s="13"/>
      <c r="U188" s="13">
        <f t="shared" si="23"/>
        <v>0</v>
      </c>
      <c r="V188" s="13">
        <f t="shared" si="24"/>
        <v>-1.1753044014419605</v>
      </c>
      <c r="W188" s="13">
        <f t="shared" si="25"/>
        <v>-2.0059529340501334</v>
      </c>
      <c r="X188" s="13">
        <f t="shared" si="26"/>
        <v>10.513453334671787</v>
      </c>
      <c r="Z188" t="str">
        <f t="shared" si="27"/>
        <v>0.954545454545491,42.0597014925373</v>
      </c>
      <c r="AA188" t="str">
        <f t="shared" si="28"/>
        <v>1.49510476830874,44.2687198964955</v>
      </c>
      <c r="AB188" t="str">
        <f t="shared" si="29"/>
        <v>-0.103652103546899,43.9630194965603</v>
      </c>
      <c r="AC188" t="str">
        <f t="shared" si="30"/>
        <v>18.0031039839976,30.564049556866</v>
      </c>
    </row>
    <row r="189" spans="2:29" x14ac:dyDescent="0.2">
      <c r="B189" s="3">
        <v>187</v>
      </c>
      <c r="C189" s="6">
        <v>0.954545454545491</v>
      </c>
      <c r="D189" s="6">
        <v>41.0597014925373</v>
      </c>
      <c r="E189" s="8">
        <v>0</v>
      </c>
      <c r="F189" s="7"/>
      <c r="G189" s="10">
        <v>1.47459327533325</v>
      </c>
      <c r="H189" s="10">
        <v>43.268930279297997</v>
      </c>
      <c r="I189" s="10">
        <v>-3.5010483339215498E-2</v>
      </c>
      <c r="K189" s="10">
        <v>-0.13865543506813799</v>
      </c>
      <c r="L189" s="10">
        <v>42.963632300933703</v>
      </c>
      <c r="M189" s="10">
        <v>-3.7431423176081599E-2</v>
      </c>
      <c r="N189" s="13"/>
      <c r="O189" s="10">
        <v>18.185570377618198</v>
      </c>
      <c r="P189" s="10">
        <v>29.5808374662166</v>
      </c>
      <c r="Q189" s="10">
        <v>0.175457791029652</v>
      </c>
      <c r="R189" s="13"/>
      <c r="S189" s="20">
        <v>0</v>
      </c>
      <c r="T189" s="13"/>
      <c r="U189" s="13">
        <f t="shared" si="23"/>
        <v>0</v>
      </c>
      <c r="V189" s="13">
        <f t="shared" si="24"/>
        <v>-2.0059529340501334</v>
      </c>
      <c r="W189" s="13">
        <f t="shared" si="25"/>
        <v>-2.1446625691576511</v>
      </c>
      <c r="X189" s="13">
        <f t="shared" si="26"/>
        <v>10.052990908687415</v>
      </c>
      <c r="Z189" t="str">
        <f t="shared" si="27"/>
        <v>0.954545454545491,41.0597014925373</v>
      </c>
      <c r="AA189" t="str">
        <f t="shared" si="28"/>
        <v>1.47459327533325,43.268930279298</v>
      </c>
      <c r="AB189" t="str">
        <f t="shared" si="29"/>
        <v>-0.138655435068138,42.9636323009337</v>
      </c>
      <c r="AC189" t="str">
        <f t="shared" si="30"/>
        <v>18.1855703776182,29.5808374662166</v>
      </c>
    </row>
    <row r="190" spans="2:29" x14ac:dyDescent="0.2">
      <c r="B190" s="3">
        <v>188</v>
      </c>
      <c r="C190" s="6">
        <v>0.954545454545491</v>
      </c>
      <c r="D190" s="6">
        <v>40.0597014925373</v>
      </c>
      <c r="E190" s="8">
        <v>0</v>
      </c>
      <c r="F190" s="7"/>
      <c r="G190" s="10">
        <v>1.4395899438120101</v>
      </c>
      <c r="H190" s="10">
        <v>42.269543083671401</v>
      </c>
      <c r="I190" s="10">
        <v>-3.7431423176081599E-2</v>
      </c>
      <c r="K190" s="10">
        <v>-0.17607811792400599</v>
      </c>
      <c r="L190" s="10">
        <v>41.964332774861603</v>
      </c>
      <c r="M190" s="10">
        <v>-5.6446439925160803E-2</v>
      </c>
      <c r="N190" s="13"/>
      <c r="O190" s="10">
        <v>18.3601292959281</v>
      </c>
      <c r="P190" s="10">
        <v>28.596190735638299</v>
      </c>
      <c r="Q190" s="10">
        <v>0.16073811968236401</v>
      </c>
      <c r="R190" s="13"/>
      <c r="S190" s="20">
        <v>0</v>
      </c>
      <c r="T190" s="13"/>
      <c r="U190" s="13">
        <f t="shared" si="23"/>
        <v>0</v>
      </c>
      <c r="V190" s="13">
        <f t="shared" si="24"/>
        <v>-2.1446625691576511</v>
      </c>
      <c r="W190" s="13">
        <f t="shared" si="25"/>
        <v>-3.2341427762504606</v>
      </c>
      <c r="X190" s="13">
        <f t="shared" si="26"/>
        <v>9.2096158646681658</v>
      </c>
      <c r="Z190" t="str">
        <f t="shared" si="27"/>
        <v>0.954545454545491,40.0597014925373</v>
      </c>
      <c r="AA190" t="str">
        <f t="shared" si="28"/>
        <v>1.43958994381201,42.2695430836714</v>
      </c>
      <c r="AB190" t="str">
        <f t="shared" si="29"/>
        <v>-0.176078117924006,41.9643327748616</v>
      </c>
      <c r="AC190" t="str">
        <f t="shared" si="30"/>
        <v>18.3601292959281,28.5961907356383</v>
      </c>
    </row>
    <row r="191" spans="2:29" x14ac:dyDescent="0.2">
      <c r="B191" s="3">
        <v>189</v>
      </c>
      <c r="C191" s="6">
        <v>0.954545454545491</v>
      </c>
      <c r="D191" s="6">
        <v>39.0597014925373</v>
      </c>
      <c r="E191" s="8">
        <v>0</v>
      </c>
      <c r="F191" s="7"/>
      <c r="G191" s="10">
        <v>1.40216726095614</v>
      </c>
      <c r="H191" s="10">
        <v>41.270243557599301</v>
      </c>
      <c r="I191" s="10">
        <v>-5.6446439925160803E-2</v>
      </c>
      <c r="K191" s="10">
        <v>-0.232494587677507</v>
      </c>
      <c r="L191" s="10">
        <v>40.965925452201901</v>
      </c>
      <c r="M191" s="10">
        <v>-4.5986851629806098E-2</v>
      </c>
      <c r="N191" s="13"/>
      <c r="O191" s="10">
        <v>18.520176150965099</v>
      </c>
      <c r="P191" s="10">
        <v>27.609081317087</v>
      </c>
      <c r="Q191" s="10">
        <v>0.19710573150580599</v>
      </c>
      <c r="R191" s="13"/>
      <c r="S191" s="20">
        <v>0</v>
      </c>
      <c r="T191" s="13"/>
      <c r="U191" s="13">
        <f t="shared" si="23"/>
        <v>0</v>
      </c>
      <c r="V191" s="13">
        <f t="shared" si="24"/>
        <v>-3.2341427762504606</v>
      </c>
      <c r="W191" s="13">
        <f t="shared" si="25"/>
        <v>-2.6348525114822006</v>
      </c>
      <c r="X191" s="13">
        <f t="shared" si="26"/>
        <v>11.293326533121464</v>
      </c>
      <c r="Z191" t="str">
        <f t="shared" si="27"/>
        <v>0.954545454545491,39.0597014925373</v>
      </c>
      <c r="AA191" t="str">
        <f t="shared" si="28"/>
        <v>1.40216726095614,41.2702435575993</v>
      </c>
      <c r="AB191" t="str">
        <f t="shared" si="29"/>
        <v>-0.232494587677507,40.9659254522019</v>
      </c>
      <c r="AC191" t="str">
        <f t="shared" si="30"/>
        <v>18.5201761509651,27.609081317087</v>
      </c>
    </row>
    <row r="192" spans="2:29" x14ac:dyDescent="0.2">
      <c r="B192" s="3">
        <v>190</v>
      </c>
      <c r="C192" s="6">
        <v>0.954545454545491</v>
      </c>
      <c r="D192" s="6">
        <v>38.0597014925373</v>
      </c>
      <c r="E192" s="8">
        <v>0</v>
      </c>
      <c r="F192" s="7"/>
      <c r="G192" s="10">
        <v>1.3457507912026401</v>
      </c>
      <c r="H192" s="10">
        <v>40.271836234939599</v>
      </c>
      <c r="I192" s="10">
        <v>-4.5986851629806098E-2</v>
      </c>
      <c r="K192" s="10">
        <v>-0.27846523226146602</v>
      </c>
      <c r="L192" s="10">
        <v>39.966982661129002</v>
      </c>
      <c r="M192" s="10">
        <v>-8.2232176668840307E-2</v>
      </c>
      <c r="N192" s="13"/>
      <c r="O192" s="10">
        <v>18.7160080777969</v>
      </c>
      <c r="P192" s="10">
        <v>26.628443842566799</v>
      </c>
      <c r="Q192" s="10">
        <v>0.170984779189013</v>
      </c>
      <c r="R192" s="13"/>
      <c r="S192" s="20">
        <v>0</v>
      </c>
      <c r="T192" s="13"/>
      <c r="U192" s="13">
        <f t="shared" si="23"/>
        <v>0</v>
      </c>
      <c r="V192" s="13">
        <f t="shared" si="24"/>
        <v>-2.6348525114822006</v>
      </c>
      <c r="W192" s="13">
        <f t="shared" si="25"/>
        <v>-4.7115566632987065</v>
      </c>
      <c r="X192" s="13">
        <f t="shared" si="26"/>
        <v>9.7967062085067553</v>
      </c>
      <c r="Z192" t="str">
        <f t="shared" si="27"/>
        <v>0.954545454545491,38.0597014925373</v>
      </c>
      <c r="AA192" t="str">
        <f t="shared" si="28"/>
        <v>1.34575079120264,40.2718362349396</v>
      </c>
      <c r="AB192" t="str">
        <f t="shared" si="29"/>
        <v>-0.278465232261466,39.966982661129</v>
      </c>
      <c r="AC192" t="str">
        <f t="shared" si="30"/>
        <v>18.7160080777969,26.6284438425668</v>
      </c>
    </row>
    <row r="193" spans="2:29" x14ac:dyDescent="0.2">
      <c r="B193" s="3">
        <v>191</v>
      </c>
      <c r="C193" s="6">
        <v>0.954545454545491</v>
      </c>
      <c r="D193" s="6">
        <v>37.0597014925373</v>
      </c>
      <c r="E193" s="8">
        <v>0</v>
      </c>
      <c r="F193" s="7"/>
      <c r="G193" s="10">
        <v>1.29978014661868</v>
      </c>
      <c r="H193" s="10">
        <v>39.2728934438667</v>
      </c>
      <c r="I193" s="10">
        <v>-8.2232176668840307E-2</v>
      </c>
      <c r="K193" s="10">
        <v>-0.36060476280325698</v>
      </c>
      <c r="L193" s="10">
        <v>38.970361821730997</v>
      </c>
      <c r="M193" s="10">
        <v>-3.7842055722966603E-2</v>
      </c>
      <c r="N193" s="13"/>
      <c r="O193" s="10">
        <v>18.886160928038802</v>
      </c>
      <c r="P193" s="10">
        <v>25.643026160791901</v>
      </c>
      <c r="Q193" s="10">
        <v>0.17881321444953899</v>
      </c>
      <c r="R193" s="13"/>
      <c r="S193" s="20">
        <v>0</v>
      </c>
      <c r="T193" s="13"/>
      <c r="U193" s="13">
        <f t="shared" si="23"/>
        <v>0</v>
      </c>
      <c r="V193" s="13">
        <f t="shared" si="24"/>
        <v>-4.7115566632987065</v>
      </c>
      <c r="W193" s="13">
        <f>(M193-S193)*180/PI()</f>
        <v>-2.1681900810248695</v>
      </c>
      <c r="X193" s="13">
        <f>(Q193-S193)*180/PI()</f>
        <v>10.245242509126292</v>
      </c>
      <c r="Z193" t="str">
        <f t="shared" si="27"/>
        <v>0.954545454545491,37.0597014925373</v>
      </c>
      <c r="AA193" t="str">
        <f t="shared" si="28"/>
        <v>1.29978014661868,39.2728934438667</v>
      </c>
      <c r="AB193" t="str">
        <f t="shared" si="29"/>
        <v>-0.360604762803257,38.970361821731</v>
      </c>
      <c r="AC193" t="str">
        <f t="shared" si="30"/>
        <v>18.8861609280388,25.6430261607919</v>
      </c>
    </row>
    <row r="194" spans="2:29" x14ac:dyDescent="0.2">
      <c r="B194" s="3">
        <v>192</v>
      </c>
      <c r="C194" s="6">
        <v>0.954545454545491</v>
      </c>
      <c r="D194" s="6">
        <v>36.0597014925373</v>
      </c>
      <c r="E194" s="8">
        <v>0</v>
      </c>
      <c r="F194" s="7"/>
      <c r="G194" s="10">
        <v>1.21764061607689</v>
      </c>
      <c r="H194" s="10">
        <v>38.276272604468701</v>
      </c>
      <c r="I194" s="10">
        <v>-3.7842055722966603E-2</v>
      </c>
      <c r="K194" s="10">
        <v>-0.39843778740199598</v>
      </c>
      <c r="L194" s="10">
        <v>37.971077746880503</v>
      </c>
      <c r="M194" s="10">
        <v>-8.4565414164697993E-3</v>
      </c>
      <c r="N194" s="13"/>
      <c r="O194" s="10">
        <v>19.064022764182202</v>
      </c>
      <c r="P194" s="10">
        <v>24.658970691195002</v>
      </c>
      <c r="Q194" s="10">
        <v>0.210080492874264</v>
      </c>
      <c r="R194" s="13"/>
      <c r="S194" s="20">
        <v>0</v>
      </c>
      <c r="T194" s="13"/>
      <c r="U194" s="13">
        <f t="shared" si="23"/>
        <v>0</v>
      </c>
      <c r="V194" s="13">
        <f t="shared" si="24"/>
        <v>-2.1681900810248695</v>
      </c>
      <c r="W194" s="13">
        <f t="shared" si="25"/>
        <v>-0.48452413244130249</v>
      </c>
      <c r="X194" s="13">
        <f t="shared" si="26"/>
        <v>12.036725599723491</v>
      </c>
      <c r="Z194" t="str">
        <f t="shared" si="27"/>
        <v>0.954545454545491,36.0597014925373</v>
      </c>
      <c r="AA194" t="str">
        <f t="shared" si="28"/>
        <v>1.21764061607689,38.2762726044687</v>
      </c>
      <c r="AB194" t="str">
        <f t="shared" si="29"/>
        <v>-0.398437787401996,37.9710777468805</v>
      </c>
      <c r="AC194" t="str">
        <f t="shared" si="30"/>
        <v>19.0640227641822,24.658970691195</v>
      </c>
    </row>
    <row r="195" spans="2:29" x14ac:dyDescent="0.2">
      <c r="B195" s="3">
        <v>193</v>
      </c>
      <c r="C195" s="6">
        <v>0.954545454545491</v>
      </c>
      <c r="D195" s="6">
        <v>35.0597014925373</v>
      </c>
      <c r="E195" s="8">
        <v>0</v>
      </c>
      <c r="F195" s="7"/>
      <c r="G195" s="10">
        <v>1.1798075914781501</v>
      </c>
      <c r="H195" s="10">
        <v>37.276988529618201</v>
      </c>
      <c r="I195" s="10">
        <v>-8.4565414164697993E-3</v>
      </c>
      <c r="K195" s="10">
        <v>-0.40689422802658798</v>
      </c>
      <c r="L195" s="10">
        <v>36.9711135032138</v>
      </c>
      <c r="M195" s="10">
        <v>-1.16156983576897E-2</v>
      </c>
      <c r="N195" s="13"/>
      <c r="O195" s="10">
        <v>19.272561387872301</v>
      </c>
      <c r="P195" s="10">
        <v>23.680956559175701</v>
      </c>
      <c r="Q195" s="10">
        <v>0.21259614866072399</v>
      </c>
      <c r="R195" s="13"/>
      <c r="S195" s="20">
        <v>0</v>
      </c>
      <c r="T195" s="13"/>
      <c r="U195" s="13">
        <f t="shared" si="23"/>
        <v>0</v>
      </c>
      <c r="V195" s="13">
        <f t="shared" si="24"/>
        <v>-0.48452413244130249</v>
      </c>
      <c r="W195" s="13">
        <f t="shared" si="25"/>
        <v>-0.66553049199266145</v>
      </c>
      <c r="X195" s="13">
        <f t="shared" si="26"/>
        <v>12.180862058995313</v>
      </c>
      <c r="Z195" t="str">
        <f t="shared" si="27"/>
        <v>0.954545454545491,35.0597014925373</v>
      </c>
      <c r="AA195" t="str">
        <f t="shared" si="28"/>
        <v>1.17980759147815,37.2769885296182</v>
      </c>
      <c r="AB195" t="str">
        <f t="shared" si="29"/>
        <v>-0.406894228026588,36.9711135032138</v>
      </c>
      <c r="AC195" t="str">
        <f t="shared" si="30"/>
        <v>19.2725613878723,23.6809565591757</v>
      </c>
    </row>
    <row r="196" spans="2:29" x14ac:dyDescent="0.2">
      <c r="B196" s="3">
        <v>194</v>
      </c>
      <c r="C196" s="6">
        <v>0.954545454545491</v>
      </c>
      <c r="D196" s="6">
        <v>34.0597014925373</v>
      </c>
      <c r="E196" s="8">
        <v>0</v>
      </c>
      <c r="F196" s="7"/>
      <c r="G196" s="10">
        <v>1.1713511508535599</v>
      </c>
      <c r="H196" s="10">
        <v>36.277024285951498</v>
      </c>
      <c r="I196" s="10">
        <v>-1.16156983576897E-2</v>
      </c>
      <c r="K196" s="10">
        <v>-0.41850966517909099</v>
      </c>
      <c r="L196" s="10">
        <v>35.971180964679398</v>
      </c>
      <c r="M196" s="10">
        <v>8.4898745426386802E-3</v>
      </c>
      <c r="N196" s="13"/>
      <c r="O196" s="10">
        <v>19.483559696007401</v>
      </c>
      <c r="P196" s="10">
        <v>22.703470132689802</v>
      </c>
      <c r="Q196" s="10">
        <v>0.21600283429009401</v>
      </c>
      <c r="R196" s="13"/>
      <c r="S196" s="20">
        <v>0</v>
      </c>
      <c r="T196" s="13"/>
      <c r="U196" s="13">
        <f t="shared" ref="U196:U238" si="31">E196-S196</f>
        <v>0</v>
      </c>
      <c r="V196" s="13">
        <f t="shared" ref="V196:V202" si="32">(I196-S196)*180/PI()</f>
        <v>-0.66553049199266145</v>
      </c>
      <c r="W196" s="13">
        <f t="shared" ref="W196:W201" si="33">(M196-S196)*180/PI()</f>
        <v>0.48643397988875647</v>
      </c>
      <c r="X196" s="13">
        <f t="shared" ref="X196:X201" si="34">(Q196-S196)*180/PI()</f>
        <v>12.376050767686085</v>
      </c>
      <c r="Z196" t="str">
        <f t="shared" ref="Z196:Z230" si="35">C196&amp;","&amp;D196</f>
        <v>0.954545454545491,34.0597014925373</v>
      </c>
      <c r="AA196" t="str">
        <f t="shared" ref="AA196:AA230" si="36">G196&amp;","&amp;H196</f>
        <v>1.17135115085356,36.2770242859515</v>
      </c>
      <c r="AB196" t="str">
        <f t="shared" ref="AB196:AB230" si="37">K196&amp;","&amp;L196</f>
        <v>-0.418509665179091,35.9711809646794</v>
      </c>
      <c r="AC196" t="str">
        <f t="shared" ref="AC196:AC230" si="38">O196&amp;","&amp;P196</f>
        <v>19.4835596960074,22.7034701326898</v>
      </c>
    </row>
    <row r="197" spans="2:29" x14ac:dyDescent="0.2">
      <c r="B197" s="3">
        <v>195</v>
      </c>
      <c r="C197" s="6">
        <v>0.954545454545491</v>
      </c>
      <c r="D197" s="6">
        <v>33.0597014925373</v>
      </c>
      <c r="E197" s="8">
        <v>0</v>
      </c>
      <c r="F197" s="7"/>
      <c r="G197" s="10">
        <v>1.15973571370106</v>
      </c>
      <c r="H197" s="10">
        <v>35.277091747417103</v>
      </c>
      <c r="I197" s="10">
        <v>8.4898745426386802E-3</v>
      </c>
      <c r="K197" s="10">
        <v>-0.41001989262490501</v>
      </c>
      <c r="L197" s="10">
        <v>34.971217003447798</v>
      </c>
      <c r="M197" s="10">
        <v>1.9990667544284701E-2</v>
      </c>
      <c r="N197" s="13"/>
      <c r="O197" s="10">
        <v>19.6978867622934</v>
      </c>
      <c r="P197" s="10">
        <v>21.726708181825</v>
      </c>
      <c r="Q197" s="10">
        <v>0.22755301403113401</v>
      </c>
      <c r="R197" s="13"/>
      <c r="S197" s="20">
        <v>0</v>
      </c>
      <c r="T197" s="13"/>
      <c r="U197" s="13">
        <f t="shared" si="31"/>
        <v>0</v>
      </c>
      <c r="V197" s="13">
        <f t="shared" si="32"/>
        <v>0.48643397988875647</v>
      </c>
      <c r="W197" s="13">
        <f t="shared" si="33"/>
        <v>1.1453808799366672</v>
      </c>
      <c r="X197" s="13">
        <f t="shared" si="34"/>
        <v>13.037827319465181</v>
      </c>
      <c r="Z197" t="str">
        <f t="shared" si="35"/>
        <v>0.954545454545491,33.0597014925373</v>
      </c>
      <c r="AA197" t="str">
        <f t="shared" si="36"/>
        <v>1.15973571370106,35.2770917474171</v>
      </c>
      <c r="AB197" t="str">
        <f t="shared" si="37"/>
        <v>-0.410019892624905,34.9712170034478</v>
      </c>
      <c r="AC197" t="str">
        <f t="shared" si="38"/>
        <v>19.6978867622934,21.726708181825</v>
      </c>
    </row>
    <row r="198" spans="2:29" x14ac:dyDescent="0.2">
      <c r="B198" s="3">
        <v>196</v>
      </c>
      <c r="C198" s="6">
        <v>0.954545454545491</v>
      </c>
      <c r="D198" s="6">
        <v>32.0597014925373</v>
      </c>
      <c r="E198" s="8">
        <v>0</v>
      </c>
      <c r="F198" s="7"/>
      <c r="G198" s="10">
        <v>1.1682254862552399</v>
      </c>
      <c r="H198" s="10">
        <v>34.277127786185602</v>
      </c>
      <c r="I198" s="10">
        <v>1.9990667544284701E-2</v>
      </c>
      <c r="K198" s="10">
        <v>-0.39003055652172902</v>
      </c>
      <c r="L198" s="10">
        <v>33.971416810188103</v>
      </c>
      <c r="M198" s="10">
        <v>-4.9199457013560603E-3</v>
      </c>
      <c r="N198" s="13"/>
      <c r="O198" s="10">
        <v>19.923481057664599</v>
      </c>
      <c r="P198" s="10">
        <v>20.752486844604402</v>
      </c>
      <c r="Q198" s="10">
        <v>0.21715364922197999</v>
      </c>
      <c r="R198" s="13"/>
      <c r="S198" s="20">
        <v>0</v>
      </c>
      <c r="T198" s="13"/>
      <c r="U198" s="13">
        <f t="shared" si="31"/>
        <v>0</v>
      </c>
      <c r="V198" s="13">
        <f t="shared" si="32"/>
        <v>1.1453808799366672</v>
      </c>
      <c r="W198" s="13">
        <f t="shared" si="33"/>
        <v>-0.28189212412123399</v>
      </c>
      <c r="X198" s="13">
        <f t="shared" si="34"/>
        <v>12.441987606283785</v>
      </c>
      <c r="Z198" t="str">
        <f t="shared" si="35"/>
        <v>0.954545454545491,32.0597014925373</v>
      </c>
      <c r="AA198" t="str">
        <f t="shared" si="36"/>
        <v>1.16822548625524,34.2771277861856</v>
      </c>
      <c r="AB198" t="str">
        <f t="shared" si="37"/>
        <v>-0.390030556521729,33.9714168101881</v>
      </c>
      <c r="AC198" t="str">
        <f t="shared" si="38"/>
        <v>19.9234810576646,20.7524868446044</v>
      </c>
    </row>
    <row r="199" spans="2:29" x14ac:dyDescent="0.2">
      <c r="B199" s="3">
        <v>197</v>
      </c>
      <c r="C199" s="6">
        <v>0.954545454545491</v>
      </c>
      <c r="D199" s="6">
        <v>31.0597014925373</v>
      </c>
      <c r="E199" s="8">
        <v>0</v>
      </c>
      <c r="F199" s="7"/>
      <c r="G199" s="10">
        <v>1.1882148223584199</v>
      </c>
      <c r="H199" s="10">
        <v>33.277327592925801</v>
      </c>
      <c r="I199" s="10">
        <v>-4.9199457013560603E-3</v>
      </c>
      <c r="K199" s="10">
        <v>-0.39495048237451802</v>
      </c>
      <c r="L199" s="10">
        <v>32.971428913096602</v>
      </c>
      <c r="M199" s="10">
        <v>-1.3456839274953599E-5</v>
      </c>
      <c r="N199" s="13"/>
      <c r="O199" s="10">
        <v>20.1389320540158</v>
      </c>
      <c r="P199" s="10">
        <v>19.7759721912728</v>
      </c>
      <c r="Q199" s="10">
        <v>0.20255006432073</v>
      </c>
      <c r="R199" s="13"/>
      <c r="S199" s="20">
        <v>0</v>
      </c>
      <c r="T199" s="13"/>
      <c r="U199" s="13">
        <f t="shared" si="31"/>
        <v>0</v>
      </c>
      <c r="V199" s="13">
        <f t="shared" si="32"/>
        <v>-0.28189212412123399</v>
      </c>
      <c r="W199" s="13">
        <f t="shared" si="33"/>
        <v>-7.7102009604072808E-4</v>
      </c>
      <c r="X199" s="13">
        <f t="shared" si="34"/>
        <v>11.60526382568119</v>
      </c>
      <c r="Z199" t="str">
        <f t="shared" si="35"/>
        <v>0.954545454545491,31.0597014925373</v>
      </c>
      <c r="AA199" t="str">
        <f t="shared" si="36"/>
        <v>1.18821482235842,33.2773275929258</v>
      </c>
      <c r="AB199" t="str">
        <f t="shared" si="37"/>
        <v>-0.394950482374518,32.9714289130966</v>
      </c>
      <c r="AC199" t="str">
        <f t="shared" si="38"/>
        <v>20.1389320540158,19.7759721912728</v>
      </c>
    </row>
    <row r="200" spans="2:29" x14ac:dyDescent="0.2">
      <c r="B200" s="3">
        <v>198</v>
      </c>
      <c r="C200" s="6">
        <v>0.954545454545491</v>
      </c>
      <c r="D200" s="6">
        <v>30.0597014925373</v>
      </c>
      <c r="E200" s="8">
        <v>0</v>
      </c>
      <c r="F200" s="7"/>
      <c r="G200" s="10">
        <v>1.18329489650563</v>
      </c>
      <c r="H200" s="10">
        <v>32.2773396958343</v>
      </c>
      <c r="I200" s="10">
        <v>-1.3456839274953599E-5</v>
      </c>
      <c r="K200" s="10">
        <v>-0.39496393921379302</v>
      </c>
      <c r="L200" s="10">
        <v>31.971428913187101</v>
      </c>
      <c r="M200" s="10">
        <v>6.0047486676805102E-2</v>
      </c>
      <c r="N200" s="13"/>
      <c r="O200" s="10">
        <v>20.340099968958398</v>
      </c>
      <c r="P200" s="10">
        <v>18.796415419054998</v>
      </c>
      <c r="Q200" s="10">
        <v>0.25907706826719201</v>
      </c>
      <c r="R200" s="13"/>
      <c r="S200" s="20">
        <v>0</v>
      </c>
      <c r="T200" s="13"/>
      <c r="U200" s="13">
        <f t="shared" si="31"/>
        <v>0</v>
      </c>
      <c r="V200" s="13">
        <f t="shared" si="32"/>
        <v>-7.7102009604072808E-4</v>
      </c>
      <c r="W200" s="13">
        <f t="shared" si="33"/>
        <v>3.4404675569489735</v>
      </c>
      <c r="X200" s="13">
        <f t="shared" si="34"/>
        <v>14.844022580332812</v>
      </c>
      <c r="Z200" t="str">
        <f t="shared" si="35"/>
        <v>0.954545454545491,30.0597014925373</v>
      </c>
      <c r="AA200" t="str">
        <f t="shared" si="36"/>
        <v>1.18329489650563,32.2773396958343</v>
      </c>
      <c r="AB200" t="str">
        <f t="shared" si="37"/>
        <v>-0.394963939213793,31.9714289131871</v>
      </c>
      <c r="AC200" t="str">
        <f t="shared" si="38"/>
        <v>20.3400999689584,18.796415419055</v>
      </c>
    </row>
    <row r="201" spans="2:29" x14ac:dyDescent="0.2">
      <c r="B201" s="3">
        <v>199</v>
      </c>
      <c r="C201" s="6">
        <v>0.954545454545491</v>
      </c>
      <c r="D201" s="6">
        <v>29.0597014925373</v>
      </c>
      <c r="E201" s="8">
        <v>0</v>
      </c>
      <c r="F201" s="7"/>
      <c r="G201" s="10">
        <v>1.18328143966636</v>
      </c>
      <c r="H201" s="10">
        <v>31.277339695924798</v>
      </c>
      <c r="I201" s="10">
        <v>6.0047486676805102E-2</v>
      </c>
      <c r="K201" s="10">
        <v>-0.334952531575548</v>
      </c>
      <c r="L201" s="10">
        <v>30.973231221868801</v>
      </c>
      <c r="M201" s="10">
        <v>1.2638754641751E-2</v>
      </c>
      <c r="N201" s="13"/>
      <c r="O201" s="10">
        <v>20.5962884995091</v>
      </c>
      <c r="P201" s="10">
        <v>17.829788584741902</v>
      </c>
      <c r="Q201" s="10">
        <v>0.22404904546154999</v>
      </c>
      <c r="R201" s="13"/>
      <c r="S201" s="20">
        <v>0</v>
      </c>
      <c r="T201" s="13"/>
      <c r="U201" s="13">
        <f t="shared" si="31"/>
        <v>0</v>
      </c>
      <c r="V201" s="13">
        <f t="shared" si="32"/>
        <v>3.4404675569489735</v>
      </c>
      <c r="W201" s="13">
        <f t="shared" si="33"/>
        <v>0.72414729927371113</v>
      </c>
      <c r="X201" s="13">
        <f t="shared" si="34"/>
        <v>12.837064708881526</v>
      </c>
      <c r="Z201" t="str">
        <f t="shared" si="35"/>
        <v>0.954545454545491,29.0597014925373</v>
      </c>
      <c r="AA201" t="str">
        <f t="shared" si="36"/>
        <v>1.18328143966636,31.2773396959248</v>
      </c>
      <c r="AB201" t="str">
        <f t="shared" si="37"/>
        <v>-0.334952531575548,30.9732312218688</v>
      </c>
      <c r="AC201" t="str">
        <f t="shared" si="38"/>
        <v>20.5962884995091,17.8297885847419</v>
      </c>
    </row>
    <row r="202" spans="2:29" x14ac:dyDescent="0.2">
      <c r="B202" s="3">
        <v>200</v>
      </c>
      <c r="C202" s="6">
        <v>0.954545454545491</v>
      </c>
      <c r="D202" s="6">
        <v>28.0597014925373</v>
      </c>
      <c r="E202" s="8">
        <v>0</v>
      </c>
      <c r="F202" s="7"/>
      <c r="G202" s="10">
        <v>1.2432928473046001</v>
      </c>
      <c r="H202" s="10">
        <v>30.279142004606499</v>
      </c>
      <c r="I202" s="10">
        <v>1.2638754641751E-2</v>
      </c>
      <c r="K202" s="10">
        <v>-0.32231411341292499</v>
      </c>
      <c r="L202" s="10">
        <v>29.973311089865</v>
      </c>
      <c r="M202" s="10">
        <v>2.9531760468275901E-2</v>
      </c>
      <c r="N202" s="13"/>
      <c r="O202" s="10">
        <v>20.818467776021201</v>
      </c>
      <c r="P202" s="10">
        <v>16.854782754457499</v>
      </c>
      <c r="Q202" s="10">
        <v>0.23718277624515899</v>
      </c>
      <c r="R202" s="13"/>
      <c r="S202" s="20">
        <v>0</v>
      </c>
      <c r="T202" s="13"/>
      <c r="U202" s="13">
        <f t="shared" si="31"/>
        <v>0</v>
      </c>
      <c r="V202" s="13">
        <f t="shared" si="32"/>
        <v>0.72414729927371113</v>
      </c>
      <c r="W202" s="13">
        <f t="shared" ref="W196:W238" si="39">(M202-S202)*180/PI()</f>
        <v>1.6920452364234968</v>
      </c>
      <c r="X202" s="13">
        <f t="shared" ref="X196:X238" si="40">(Q202-S202)*180/PI()</f>
        <v>13.589572052043369</v>
      </c>
      <c r="Z202" t="str">
        <f t="shared" si="35"/>
        <v>0.954545454545491,28.0597014925373</v>
      </c>
      <c r="AA202" t="str">
        <f t="shared" si="36"/>
        <v>1.2432928473046,30.2791420046065</v>
      </c>
      <c r="AB202" t="str">
        <f t="shared" si="37"/>
        <v>-0.322314113412925,29.973311089865</v>
      </c>
      <c r="AC202" t="str">
        <f t="shared" si="38"/>
        <v>20.8184677760212,16.8547827544575</v>
      </c>
    </row>
    <row r="203" spans="2:29" x14ac:dyDescent="0.2">
      <c r="B203" s="3">
        <v>201</v>
      </c>
      <c r="C203" s="6">
        <v>0.954545454545491</v>
      </c>
      <c r="D203" s="6">
        <v>27.0597014925373</v>
      </c>
      <c r="E203" s="8">
        <v>0</v>
      </c>
      <c r="F203" s="7"/>
      <c r="G203" s="10">
        <v>1.2559312654672199</v>
      </c>
      <c r="H203" s="10">
        <v>29.2792218726028</v>
      </c>
      <c r="I203" s="10">
        <v>2.9531760468275901E-2</v>
      </c>
      <c r="K203" s="10">
        <v>-0.292786645321295</v>
      </c>
      <c r="L203" s="10">
        <v>28.973747120612401</v>
      </c>
      <c r="M203" s="10">
        <v>5.1329163198131397E-2</v>
      </c>
      <c r="N203" s="13"/>
      <c r="O203" s="10">
        <v>21.053432986358899</v>
      </c>
      <c r="P203" s="10">
        <v>15.882778973636199</v>
      </c>
      <c r="Q203" s="10">
        <v>0.244758755200192</v>
      </c>
      <c r="R203" s="13"/>
      <c r="S203" s="20">
        <v>0</v>
      </c>
      <c r="T203" s="13"/>
      <c r="U203" s="13">
        <f t="shared" si="31"/>
        <v>0</v>
      </c>
      <c r="V203" s="13">
        <f t="shared" ref="V197:V239" si="41">(I203-S203)*180/PI()</f>
        <v>1.6920452364234968</v>
      </c>
      <c r="W203" s="13">
        <f t="shared" si="39"/>
        <v>2.9409444171911563</v>
      </c>
      <c r="X203" s="13">
        <f t="shared" si="40"/>
        <v>14.023643671846694</v>
      </c>
      <c r="Z203" t="str">
        <f t="shared" si="35"/>
        <v>0.954545454545491,27.0597014925373</v>
      </c>
      <c r="AA203" t="str">
        <f t="shared" si="36"/>
        <v>1.25593126546722,29.2792218726028</v>
      </c>
      <c r="AB203" t="str">
        <f t="shared" si="37"/>
        <v>-0.292786645321295,28.9737471206124</v>
      </c>
      <c r="AC203" t="str">
        <f t="shared" si="38"/>
        <v>21.0534329863589,15.8827789736362</v>
      </c>
    </row>
    <row r="204" spans="2:29" x14ac:dyDescent="0.2">
      <c r="B204" s="3">
        <v>202</v>
      </c>
      <c r="C204" s="6">
        <v>0.954545454545491</v>
      </c>
      <c r="D204" s="6">
        <v>26.0597014925373</v>
      </c>
      <c r="E204" s="8">
        <v>0</v>
      </c>
      <c r="F204" s="7"/>
      <c r="G204" s="10">
        <v>1.2854587335588501</v>
      </c>
      <c r="H204" s="10">
        <v>28.279657903350099</v>
      </c>
      <c r="I204" s="10">
        <v>5.1329163198131397E-2</v>
      </c>
      <c r="K204" s="10">
        <v>-0.24148001849971601</v>
      </c>
      <c r="L204" s="10">
        <v>27.9750641729037</v>
      </c>
      <c r="M204" s="10">
        <v>1.2776423595918299E-2</v>
      </c>
      <c r="N204" s="13"/>
      <c r="O204" s="10">
        <v>21.295755263506699</v>
      </c>
      <c r="P204" s="10">
        <v>14.912583161442599</v>
      </c>
      <c r="Q204" s="10">
        <v>0.22935493845903401</v>
      </c>
      <c r="R204" s="13"/>
      <c r="S204" s="20">
        <v>0</v>
      </c>
      <c r="T204" s="13"/>
      <c r="U204" s="13">
        <f t="shared" si="31"/>
        <v>0</v>
      </c>
      <c r="V204" s="13">
        <f t="shared" si="41"/>
        <v>2.9409444171911563</v>
      </c>
      <c r="W204" s="13">
        <f t="shared" si="39"/>
        <v>0.73203514931747726</v>
      </c>
      <c r="X204" s="13">
        <f t="shared" si="40"/>
        <v>13.141069984185378</v>
      </c>
      <c r="Z204" t="str">
        <f t="shared" si="35"/>
        <v>0.954545454545491,26.0597014925373</v>
      </c>
      <c r="AA204" t="str">
        <f t="shared" si="36"/>
        <v>1.28545873355885,28.2796579033501</v>
      </c>
      <c r="AB204" t="str">
        <f t="shared" si="37"/>
        <v>-0.241480018499716,27.9750641729037</v>
      </c>
      <c r="AC204" t="str">
        <f t="shared" si="38"/>
        <v>21.2957552635067,14.9125831614426</v>
      </c>
    </row>
    <row r="205" spans="2:29" x14ac:dyDescent="0.2">
      <c r="B205" s="3">
        <v>203</v>
      </c>
      <c r="C205" s="6">
        <v>0.954545454545491</v>
      </c>
      <c r="D205" s="6">
        <v>25.0597014925373</v>
      </c>
      <c r="E205" s="8">
        <v>0</v>
      </c>
      <c r="F205" s="7"/>
      <c r="G205" s="10">
        <v>1.3367653603804299</v>
      </c>
      <c r="H205" s="10">
        <v>27.280974955641401</v>
      </c>
      <c r="I205" s="10">
        <v>1.2776423595918299E-2</v>
      </c>
      <c r="K205" s="10">
        <v>-0.22870394249847001</v>
      </c>
      <c r="L205" s="10">
        <v>26.9751457902934</v>
      </c>
      <c r="M205" s="10">
        <v>6.2781395311929403E-2</v>
      </c>
      <c r="N205" s="13"/>
      <c r="O205" s="10">
        <v>21.523104664909098</v>
      </c>
      <c r="P205" s="10">
        <v>13.938769909488199</v>
      </c>
      <c r="Q205" s="10">
        <v>0.25897138070896503</v>
      </c>
      <c r="R205" s="13"/>
      <c r="S205" s="20">
        <v>0</v>
      </c>
      <c r="T205" s="13"/>
      <c r="U205" s="13">
        <f t="shared" si="31"/>
        <v>0</v>
      </c>
      <c r="V205" s="13">
        <f t="shared" si="41"/>
        <v>0.73203514931747726</v>
      </c>
      <c r="W205" s="13">
        <f t="shared" si="39"/>
        <v>3.5971089833159673</v>
      </c>
      <c r="X205" s="13">
        <f t="shared" si="40"/>
        <v>14.83796712929936</v>
      </c>
      <c r="Z205" t="str">
        <f t="shared" si="35"/>
        <v>0.954545454545491,25.0597014925373</v>
      </c>
      <c r="AA205" t="str">
        <f t="shared" si="36"/>
        <v>1.33676536038043,27.2809749556414</v>
      </c>
      <c r="AB205" t="str">
        <f t="shared" si="37"/>
        <v>-0.22870394249847,26.9751457902934</v>
      </c>
      <c r="AC205" t="str">
        <f t="shared" si="38"/>
        <v>21.5231046649091,13.9387699094882</v>
      </c>
    </row>
    <row r="206" spans="2:29" x14ac:dyDescent="0.2">
      <c r="B206" s="3">
        <v>204</v>
      </c>
      <c r="C206" s="6">
        <v>0.954545454545491</v>
      </c>
      <c r="D206" s="6">
        <v>24.0597014925373</v>
      </c>
      <c r="E206" s="8">
        <v>0</v>
      </c>
      <c r="F206" s="7"/>
      <c r="G206" s="10">
        <v>1.34954143638168</v>
      </c>
      <c r="H206" s="10">
        <v>26.281056573031101</v>
      </c>
      <c r="I206" s="10">
        <v>6.2781395311929403E-2</v>
      </c>
      <c r="K206" s="10">
        <v>-0.16596378124207101</v>
      </c>
      <c r="L206" s="10">
        <v>25.9771158948666</v>
      </c>
      <c r="M206" s="10">
        <v>1.0569441598072001E-2</v>
      </c>
      <c r="N206" s="13"/>
      <c r="O206" s="10">
        <v>21.7791910335993</v>
      </c>
      <c r="P206" s="10">
        <v>12.972116004633399</v>
      </c>
      <c r="Q206" s="10">
        <v>0.214003763070858</v>
      </c>
      <c r="R206" s="13"/>
      <c r="S206" s="20">
        <v>0</v>
      </c>
      <c r="T206" s="13"/>
      <c r="U206" s="13">
        <f t="shared" si="31"/>
        <v>0</v>
      </c>
      <c r="V206" s="13">
        <f t="shared" si="41"/>
        <v>3.5971089833159673</v>
      </c>
      <c r="W206" s="13">
        <f t="shared" si="39"/>
        <v>0.60558439537953379</v>
      </c>
      <c r="X206" s="13">
        <f t="shared" si="40"/>
        <v>12.26151242387779</v>
      </c>
      <c r="Z206" t="str">
        <f t="shared" si="35"/>
        <v>0.954545454545491,24.0597014925373</v>
      </c>
      <c r="AA206" t="str">
        <f t="shared" si="36"/>
        <v>1.34954143638168,26.2810565730311</v>
      </c>
      <c r="AB206" t="str">
        <f t="shared" si="37"/>
        <v>-0.165963781242071,25.9771158948666</v>
      </c>
      <c r="AC206" t="str">
        <f t="shared" si="38"/>
        <v>21.7791910335993,12.9721160046334</v>
      </c>
    </row>
    <row r="207" spans="2:29" x14ac:dyDescent="0.2">
      <c r="B207" s="3">
        <v>205</v>
      </c>
      <c r="C207" s="6">
        <v>0.954545454545491</v>
      </c>
      <c r="D207" s="6">
        <v>23.0597014925373</v>
      </c>
      <c r="E207" s="8">
        <v>0</v>
      </c>
      <c r="F207" s="7"/>
      <c r="G207" s="10">
        <v>1.41228159763808</v>
      </c>
      <c r="H207" s="10">
        <v>25.283026677604301</v>
      </c>
      <c r="I207" s="10">
        <v>1.0569441598072001E-2</v>
      </c>
      <c r="K207" s="10">
        <v>-0.15539453643373999</v>
      </c>
      <c r="L207" s="10">
        <v>24.977171750894499</v>
      </c>
      <c r="M207" s="10">
        <v>5.0451708434512299E-2</v>
      </c>
      <c r="N207" s="13"/>
      <c r="O207" s="10">
        <v>21.991565056225902</v>
      </c>
      <c r="P207" s="10">
        <v>11.9949275506936</v>
      </c>
      <c r="Q207" s="10">
        <v>0.260681644234873</v>
      </c>
      <c r="R207" s="13"/>
      <c r="S207" s="20">
        <v>0</v>
      </c>
      <c r="T207" s="13"/>
      <c r="U207" s="13">
        <f t="shared" si="31"/>
        <v>0</v>
      </c>
      <c r="V207" s="13">
        <f t="shared" si="41"/>
        <v>0.60558439537953379</v>
      </c>
      <c r="W207" s="13">
        <f t="shared" si="39"/>
        <v>2.8906699625221322</v>
      </c>
      <c r="X207" s="13">
        <f t="shared" si="40"/>
        <v>14.935958011189051</v>
      </c>
      <c r="Z207" t="str">
        <f t="shared" si="35"/>
        <v>0.954545454545491,23.0597014925373</v>
      </c>
      <c r="AA207" t="str">
        <f t="shared" si="36"/>
        <v>1.41228159763808,25.2830266776043</v>
      </c>
      <c r="AB207" t="str">
        <f t="shared" si="37"/>
        <v>-0.15539453643374,24.9771717508945</v>
      </c>
      <c r="AC207" t="str">
        <f t="shared" si="38"/>
        <v>21.9915650562259,11.9949275506936</v>
      </c>
    </row>
    <row r="208" spans="2:29" x14ac:dyDescent="0.2">
      <c r="B208" s="3">
        <v>206</v>
      </c>
      <c r="C208" s="6">
        <v>0.954545454545491</v>
      </c>
      <c r="D208" s="6">
        <v>22.0597014925373</v>
      </c>
      <c r="E208" s="8">
        <v>0</v>
      </c>
      <c r="F208" s="7"/>
      <c r="G208" s="10">
        <v>1.4228508424464099</v>
      </c>
      <c r="H208" s="10">
        <v>24.2830825336322</v>
      </c>
      <c r="I208" s="10">
        <v>5.0451708434512299E-2</v>
      </c>
      <c r="K208" s="10">
        <v>-0.10496422836069901</v>
      </c>
      <c r="L208" s="10">
        <v>23.978444168403801</v>
      </c>
      <c r="M208" s="10">
        <v>7.1587159848294196E-2</v>
      </c>
      <c r="N208" s="13"/>
      <c r="O208" s="10">
        <v>22.249304282499502</v>
      </c>
      <c r="P208" s="10">
        <v>11.0287130345327</v>
      </c>
      <c r="Q208" s="10">
        <v>0.25880633529993702</v>
      </c>
      <c r="R208" s="13"/>
      <c r="S208" s="20">
        <v>0</v>
      </c>
      <c r="T208" s="13"/>
      <c r="U208" s="13">
        <f t="shared" si="31"/>
        <v>0</v>
      </c>
      <c r="V208" s="13">
        <f t="shared" si="41"/>
        <v>2.8906699625221322</v>
      </c>
      <c r="W208" s="13">
        <f t="shared" si="39"/>
        <v>4.1016421266356442</v>
      </c>
      <c r="X208" s="13">
        <f t="shared" si="40"/>
        <v>14.828510723934047</v>
      </c>
      <c r="Z208" t="str">
        <f t="shared" si="35"/>
        <v>0.954545454545491,22.0597014925373</v>
      </c>
      <c r="AA208" t="str">
        <f t="shared" si="36"/>
        <v>1.42285084244641,24.2830825336322</v>
      </c>
      <c r="AB208" t="str">
        <f t="shared" si="37"/>
        <v>-0.104964228360699,23.9784441684038</v>
      </c>
      <c r="AC208" t="str">
        <f t="shared" si="38"/>
        <v>22.2493042824995,11.0287130345327</v>
      </c>
    </row>
    <row r="209" spans="2:29" x14ac:dyDescent="0.2">
      <c r="B209" s="3">
        <v>207</v>
      </c>
      <c r="C209" s="6">
        <v>0.954545454545491</v>
      </c>
      <c r="D209" s="6">
        <v>21.0597014925373</v>
      </c>
      <c r="E209" s="8">
        <v>0</v>
      </c>
      <c r="F209" s="7"/>
      <c r="G209" s="10">
        <v>1.4732811505194501</v>
      </c>
      <c r="H209" s="10">
        <v>23.284354951141498</v>
      </c>
      <c r="I209" s="10">
        <v>7.1587159848294196E-2</v>
      </c>
      <c r="K209" s="10">
        <v>-3.3438196889338398E-2</v>
      </c>
      <c r="L209" s="10">
        <v>22.981005435036199</v>
      </c>
      <c r="M209" s="10">
        <v>5.5536239745903201E-2</v>
      </c>
      <c r="N209" s="13"/>
      <c r="O209" s="10">
        <v>22.505231105913499</v>
      </c>
      <c r="P209" s="10">
        <v>10.062016876964501</v>
      </c>
      <c r="Q209" s="10">
        <v>0.27663443408319599</v>
      </c>
      <c r="R209" s="13"/>
      <c r="S209" s="20">
        <v>0</v>
      </c>
      <c r="T209" s="13"/>
      <c r="U209" s="13">
        <f t="shared" si="31"/>
        <v>0</v>
      </c>
      <c r="V209" s="13">
        <f t="shared" si="41"/>
        <v>4.1016421266356442</v>
      </c>
      <c r="W209" s="13">
        <f t="shared" si="39"/>
        <v>3.1819921474669486</v>
      </c>
      <c r="X209" s="13">
        <f t="shared" si="40"/>
        <v>15.849985540957102</v>
      </c>
      <c r="Z209" t="str">
        <f t="shared" si="35"/>
        <v>0.954545454545491,21.0597014925373</v>
      </c>
      <c r="AA209" t="str">
        <f t="shared" si="36"/>
        <v>1.47328115051945,23.2843549511415</v>
      </c>
      <c r="AB209" t="str">
        <f t="shared" si="37"/>
        <v>-0.0334381968893384,22.9810054350362</v>
      </c>
      <c r="AC209" t="str">
        <f t="shared" si="38"/>
        <v>22.5052311059135,10.0620168769645</v>
      </c>
    </row>
    <row r="210" spans="2:29" x14ac:dyDescent="0.2">
      <c r="B210" s="3">
        <v>208</v>
      </c>
      <c r="C210" s="6">
        <v>0.954545454545491</v>
      </c>
      <c r="D210" s="6">
        <v>20.0597014925373</v>
      </c>
      <c r="E210" s="8">
        <v>0</v>
      </c>
      <c r="F210" s="7"/>
      <c r="G210" s="10">
        <v>1.54480718199081</v>
      </c>
      <c r="H210" s="10">
        <v>22.2869162177739</v>
      </c>
      <c r="I210" s="10">
        <v>5.5536239745903201E-2</v>
      </c>
      <c r="K210" s="10">
        <v>2.2069499096068E-2</v>
      </c>
      <c r="L210" s="10">
        <v>21.982547175675101</v>
      </c>
      <c r="M210" s="10">
        <v>-6.5813920422469804E-3</v>
      </c>
      <c r="N210" s="13"/>
      <c r="O210" s="10">
        <v>22.778350700013</v>
      </c>
      <c r="P210" s="10">
        <v>9.1000367902064898</v>
      </c>
      <c r="Q210" s="10">
        <v>0.220138083971717</v>
      </c>
      <c r="R210" s="13"/>
      <c r="S210" s="20">
        <v>0</v>
      </c>
      <c r="T210" s="13"/>
      <c r="U210" s="13">
        <f t="shared" si="31"/>
        <v>0</v>
      </c>
      <c r="V210" s="13">
        <f t="shared" si="41"/>
        <v>3.1819921474669486</v>
      </c>
      <c r="W210" s="13">
        <f t="shared" si="39"/>
        <v>-0.37708598734173759</v>
      </c>
      <c r="X210" s="13">
        <f t="shared" si="40"/>
        <v>12.612983121675899</v>
      </c>
      <c r="Z210" t="str">
        <f t="shared" si="35"/>
        <v>0.954545454545491,20.0597014925373</v>
      </c>
      <c r="AA210" t="str">
        <f t="shared" si="36"/>
        <v>1.54480718199081,22.2869162177739</v>
      </c>
      <c r="AB210" t="str">
        <f t="shared" si="37"/>
        <v>0.022069499096068,21.9825471756751</v>
      </c>
      <c r="AC210" t="str">
        <f t="shared" si="38"/>
        <v>22.778350700013,9.10003679020649</v>
      </c>
    </row>
    <row r="211" spans="2:29" x14ac:dyDescent="0.2">
      <c r="B211" s="3">
        <v>209</v>
      </c>
      <c r="C211" s="6">
        <v>0.954545454545491</v>
      </c>
      <c r="D211" s="6">
        <v>19.0597014925373</v>
      </c>
      <c r="E211" s="8">
        <v>0</v>
      </c>
      <c r="F211" s="7"/>
      <c r="G211" s="10">
        <v>1.60031487797622</v>
      </c>
      <c r="H211" s="10">
        <v>21.288457958412799</v>
      </c>
      <c r="I211" s="10">
        <v>-6.5813920422469804E-3</v>
      </c>
      <c r="K211" s="10">
        <v>1.5488154565578401E-2</v>
      </c>
      <c r="L211" s="10">
        <v>20.982568832957501</v>
      </c>
      <c r="M211" s="10">
        <v>4.7322677762251297E-2</v>
      </c>
      <c r="N211" s="13"/>
      <c r="O211" s="10">
        <v>22.996715076808801</v>
      </c>
      <c r="P211" s="10">
        <v>8.1241694841926897</v>
      </c>
      <c r="Q211" s="10">
        <v>0.25048060660622201</v>
      </c>
      <c r="R211" s="13"/>
      <c r="S211" s="20">
        <v>0</v>
      </c>
      <c r="T211" s="13"/>
      <c r="U211" s="13">
        <f t="shared" si="31"/>
        <v>0</v>
      </c>
      <c r="V211" s="13">
        <f t="shared" si="41"/>
        <v>-0.37708598734173759</v>
      </c>
      <c r="W211" s="13">
        <f t="shared" si="39"/>
        <v>2.7113897110345939</v>
      </c>
      <c r="X211" s="13">
        <f t="shared" si="40"/>
        <v>14.351481608413209</v>
      </c>
      <c r="Z211" t="str">
        <f t="shared" si="35"/>
        <v>0.954545454545491,19.0597014925373</v>
      </c>
      <c r="AA211" t="str">
        <f t="shared" si="36"/>
        <v>1.60031487797622,21.2884579584128</v>
      </c>
      <c r="AB211" t="str">
        <f t="shared" si="37"/>
        <v>0.0154881545655784,20.9825688329575</v>
      </c>
      <c r="AC211" t="str">
        <f t="shared" si="38"/>
        <v>22.9967150768088,8.12416948419269</v>
      </c>
    </row>
    <row r="212" spans="2:29" x14ac:dyDescent="0.2">
      <c r="B212" s="3">
        <v>210</v>
      </c>
      <c r="C212" s="6">
        <v>0.954545454545491</v>
      </c>
      <c r="D212" s="6">
        <v>18.0597014925373</v>
      </c>
      <c r="E212" s="8">
        <v>0</v>
      </c>
      <c r="F212" s="7"/>
      <c r="G212" s="10">
        <v>1.5937335334457301</v>
      </c>
      <c r="H212" s="10">
        <v>20.288479615695302</v>
      </c>
      <c r="I212" s="10">
        <v>4.7322677762251297E-2</v>
      </c>
      <c r="K212" s="10">
        <v>6.2793171622083102E-2</v>
      </c>
      <c r="L212" s="10">
        <v>19.983688341927099</v>
      </c>
      <c r="M212" s="10">
        <v>5.0549382299227702E-2</v>
      </c>
      <c r="N212" s="13"/>
      <c r="O212" s="10">
        <v>23.244584673183098</v>
      </c>
      <c r="P212" s="10">
        <v>7.1553760783557001</v>
      </c>
      <c r="Q212" s="10">
        <v>0.24663098214430501</v>
      </c>
      <c r="R212" s="13"/>
      <c r="S212" s="20">
        <v>0</v>
      </c>
      <c r="T212" s="13"/>
      <c r="U212" s="13">
        <f t="shared" si="31"/>
        <v>0</v>
      </c>
      <c r="V212" s="13">
        <f t="shared" si="41"/>
        <v>2.7113897110345939</v>
      </c>
      <c r="W212" s="13">
        <f t="shared" si="39"/>
        <v>2.896266262739057</v>
      </c>
      <c r="X212" s="13">
        <f t="shared" si="40"/>
        <v>14.130914374035044</v>
      </c>
      <c r="Z212" t="str">
        <f t="shared" si="35"/>
        <v>0.954545454545491,18.0597014925373</v>
      </c>
      <c r="AA212" t="str">
        <f t="shared" si="36"/>
        <v>1.59373353344573,20.2884796156953</v>
      </c>
      <c r="AB212" t="str">
        <f t="shared" si="37"/>
        <v>0.0627931716220831,19.9836883419271</v>
      </c>
      <c r="AC212" t="str">
        <f t="shared" si="38"/>
        <v>23.2445846731831,7.1553760783557</v>
      </c>
    </row>
    <row r="213" spans="2:29" x14ac:dyDescent="0.2">
      <c r="B213" s="3">
        <v>211</v>
      </c>
      <c r="C213" s="6">
        <v>0.954545454545491</v>
      </c>
      <c r="D213" s="6">
        <v>17.0597014925373</v>
      </c>
      <c r="E213" s="8">
        <v>0</v>
      </c>
      <c r="F213" s="7"/>
      <c r="G213" s="10">
        <v>1.64103855050223</v>
      </c>
      <c r="H213" s="10">
        <v>19.2895991246648</v>
      </c>
      <c r="I213" s="10">
        <v>5.0549382299227702E-2</v>
      </c>
      <c r="K213" s="10">
        <v>0.113321029037191</v>
      </c>
      <c r="L213" s="10">
        <v>18.984965689923499</v>
      </c>
      <c r="M213" s="10">
        <v>7.5050874910657706E-2</v>
      </c>
      <c r="N213" s="13"/>
      <c r="O213" s="10">
        <v>23.488722951312401</v>
      </c>
      <c r="P213" s="10">
        <v>6.18563564857459</v>
      </c>
      <c r="Q213" s="10">
        <v>0.2550302763326</v>
      </c>
      <c r="R213" s="13"/>
      <c r="S213" s="20">
        <v>0</v>
      </c>
      <c r="T213" s="13"/>
      <c r="U213" s="13">
        <f t="shared" si="31"/>
        <v>0</v>
      </c>
      <c r="V213" s="13">
        <f t="shared" si="41"/>
        <v>2.896266262739057</v>
      </c>
      <c r="W213" s="13">
        <f t="shared" si="39"/>
        <v>4.3000983811449656</v>
      </c>
      <c r="X213" s="13">
        <f t="shared" si="40"/>
        <v>14.612158481913108</v>
      </c>
      <c r="Z213" t="str">
        <f t="shared" si="35"/>
        <v>0.954545454545491,17.0597014925373</v>
      </c>
      <c r="AA213" t="str">
        <f t="shared" si="36"/>
        <v>1.64103855050223,19.2895991246648</v>
      </c>
      <c r="AB213" t="str">
        <f t="shared" si="37"/>
        <v>0.113321029037191,18.9849656899235</v>
      </c>
      <c r="AC213" t="str">
        <f t="shared" si="38"/>
        <v>23.4887229513124,6.18563564857459</v>
      </c>
    </row>
    <row r="214" spans="2:29" x14ac:dyDescent="0.2">
      <c r="B214" s="3">
        <v>212</v>
      </c>
      <c r="C214" s="6">
        <v>0.954545454545491</v>
      </c>
      <c r="D214" s="6">
        <v>16.0597014925373</v>
      </c>
      <c r="E214" s="8">
        <v>0</v>
      </c>
      <c r="F214" s="7"/>
      <c r="G214" s="10">
        <v>1.69156640791734</v>
      </c>
      <c r="H214" s="10">
        <v>18.2908764726612</v>
      </c>
      <c r="I214" s="10">
        <v>7.5050874910657706E-2</v>
      </c>
      <c r="K214" s="10">
        <v>0.188301468104973</v>
      </c>
      <c r="L214" s="10">
        <v>17.9877806851439</v>
      </c>
      <c r="M214" s="10">
        <v>1.9085664244524202E-2</v>
      </c>
      <c r="N214" s="13"/>
      <c r="O214" s="10">
        <v>23.740997657126901</v>
      </c>
      <c r="P214" s="10">
        <v>5.2179799903954098</v>
      </c>
      <c r="Q214" s="10">
        <v>0.22170881232617101</v>
      </c>
      <c r="R214" s="13"/>
      <c r="S214" s="20">
        <v>0</v>
      </c>
      <c r="T214" s="13"/>
      <c r="U214" s="13">
        <f t="shared" si="31"/>
        <v>0</v>
      </c>
      <c r="V214" s="13">
        <f t="shared" si="41"/>
        <v>4.3000983811449656</v>
      </c>
      <c r="W214" s="13">
        <f t="shared" si="39"/>
        <v>1.0935280104149776</v>
      </c>
      <c r="X214" s="13">
        <f t="shared" si="40"/>
        <v>12.702979227147644</v>
      </c>
      <c r="Z214" t="str">
        <f t="shared" si="35"/>
        <v>0.954545454545491,16.0597014925373</v>
      </c>
      <c r="AA214" t="str">
        <f t="shared" si="36"/>
        <v>1.69156640791734,18.2908764726612</v>
      </c>
      <c r="AB214" t="str">
        <f t="shared" si="37"/>
        <v>0.188301468104973,17.9877806851439</v>
      </c>
      <c r="AC214" t="str">
        <f t="shared" si="38"/>
        <v>23.7409976571269,5.21797999039541</v>
      </c>
    </row>
    <row r="215" spans="2:29" x14ac:dyDescent="0.2">
      <c r="B215" s="3">
        <v>213</v>
      </c>
      <c r="C215" s="6">
        <v>0.954545454545491</v>
      </c>
      <c r="D215" s="6">
        <v>15.0597014925373</v>
      </c>
      <c r="E215" s="8">
        <v>0</v>
      </c>
      <c r="F215" s="7"/>
      <c r="G215" s="10">
        <v>1.76654684698512</v>
      </c>
      <c r="H215" s="10">
        <v>17.2936914678817</v>
      </c>
      <c r="I215" s="10">
        <v>1.9085664244524202E-2</v>
      </c>
      <c r="K215" s="10">
        <v>0.20738597367171899</v>
      </c>
      <c r="L215" s="10">
        <v>16.987962810905199</v>
      </c>
      <c r="M215" s="10">
        <v>5.3524488186285801E-2</v>
      </c>
      <c r="N215" s="13"/>
      <c r="O215" s="10">
        <v>23.9608945863672</v>
      </c>
      <c r="P215" s="10">
        <v>4.2424568791824102</v>
      </c>
      <c r="Q215" s="10">
        <v>0.24317981386530599</v>
      </c>
      <c r="R215" s="13"/>
      <c r="S215" s="20">
        <v>0</v>
      </c>
      <c r="T215" s="13"/>
      <c r="U215" s="13">
        <f t="shared" si="31"/>
        <v>0</v>
      </c>
      <c r="V215" s="13">
        <f t="shared" si="41"/>
        <v>1.0935280104149776</v>
      </c>
      <c r="W215" s="13">
        <f t="shared" si="39"/>
        <v>3.0667272736720106</v>
      </c>
      <c r="X215" s="13">
        <f t="shared" si="40"/>
        <v>13.933176997258972</v>
      </c>
      <c r="Z215" t="str">
        <f t="shared" si="35"/>
        <v>0.954545454545491,15.0597014925373</v>
      </c>
      <c r="AA215" t="str">
        <f t="shared" si="36"/>
        <v>1.76654684698512,17.2936914678817</v>
      </c>
      <c r="AB215" t="str">
        <f t="shared" si="37"/>
        <v>0.207385973671719,16.9879628109052</v>
      </c>
      <c r="AC215" t="str">
        <f t="shared" si="38"/>
        <v>23.9608945863672,4.24245687918241</v>
      </c>
    </row>
    <row r="216" spans="2:29" x14ac:dyDescent="0.2">
      <c r="B216" s="3">
        <v>214</v>
      </c>
      <c r="C216" s="6">
        <v>0.954545454545491</v>
      </c>
      <c r="D216" s="6">
        <v>14.0597014925373</v>
      </c>
      <c r="E216" s="8">
        <v>0</v>
      </c>
      <c r="F216" s="7"/>
      <c r="G216" s="10">
        <v>1.7856313525518701</v>
      </c>
      <c r="H216" s="10">
        <v>16.2938735936429</v>
      </c>
      <c r="I216" s="10">
        <v>5.3524488186285801E-2</v>
      </c>
      <c r="K216" s="10">
        <v>0.26088490872773401</v>
      </c>
      <c r="L216" s="10">
        <v>15.9893949043771</v>
      </c>
      <c r="M216" s="10">
        <v>-1.3059159845639099E-2</v>
      </c>
      <c r="N216" s="13"/>
      <c r="O216" s="10">
        <v>24.201684679819301</v>
      </c>
      <c r="P216" s="10">
        <v>3.27187966386396</v>
      </c>
      <c r="Q216" s="10">
        <v>0.18656077373213001</v>
      </c>
      <c r="R216" s="13"/>
      <c r="S216" s="20">
        <v>0</v>
      </c>
      <c r="T216" s="13"/>
      <c r="U216" s="13">
        <f t="shared" si="31"/>
        <v>0</v>
      </c>
      <c r="V216" s="13">
        <f t="shared" si="41"/>
        <v>3.0667272736720106</v>
      </c>
      <c r="W216" s="13">
        <f t="shared" si="39"/>
        <v>-0.74823474314183602</v>
      </c>
      <c r="X216" s="13">
        <f t="shared" si="40"/>
        <v>10.68914495754616</v>
      </c>
      <c r="Z216" t="str">
        <f t="shared" si="35"/>
        <v>0.954545454545491,14.0597014925373</v>
      </c>
      <c r="AA216" t="str">
        <f t="shared" si="36"/>
        <v>1.78563135255187,16.2938735936429</v>
      </c>
      <c r="AB216" t="str">
        <f t="shared" si="37"/>
        <v>0.260884908727734,15.9893949043771</v>
      </c>
      <c r="AC216" t="str">
        <f t="shared" si="38"/>
        <v>24.2016846798193,3.27187966386396</v>
      </c>
    </row>
    <row r="217" spans="2:29" x14ac:dyDescent="0.2">
      <c r="B217" s="3">
        <v>215</v>
      </c>
      <c r="C217" s="6">
        <v>0.954545454545491</v>
      </c>
      <c r="D217" s="6">
        <v>13.0597014925373</v>
      </c>
      <c r="E217" s="8">
        <v>0</v>
      </c>
      <c r="F217" s="7"/>
      <c r="G217" s="10">
        <v>1.8391302876078801</v>
      </c>
      <c r="H217" s="10">
        <v>15.2953056871148</v>
      </c>
      <c r="I217" s="10">
        <v>-1.3059159845639099E-2</v>
      </c>
      <c r="K217" s="10">
        <v>0.24782612006738799</v>
      </c>
      <c r="L217" s="10">
        <v>14.989480173993201</v>
      </c>
      <c r="M217" s="10">
        <v>-2.3018968776373501E-2</v>
      </c>
      <c r="N217" s="13"/>
      <c r="O217" s="10">
        <v>24.387165129756699</v>
      </c>
      <c r="P217" s="10">
        <v>2.2892317092581198</v>
      </c>
      <c r="Q217" s="10">
        <v>0.17382749454023999</v>
      </c>
      <c r="R217" s="13"/>
      <c r="S217" s="20">
        <v>0</v>
      </c>
      <c r="T217" s="13"/>
      <c r="U217" s="13">
        <f t="shared" si="31"/>
        <v>0</v>
      </c>
      <c r="V217" s="13">
        <f t="shared" si="41"/>
        <v>-0.74823474314183602</v>
      </c>
      <c r="W217" s="13">
        <f t="shared" si="39"/>
        <v>-1.3188897596296225</v>
      </c>
      <c r="X217" s="13">
        <f t="shared" si="40"/>
        <v>9.9595818004891115</v>
      </c>
      <c r="Z217" t="str">
        <f t="shared" si="35"/>
        <v>0.954545454545491,13.0597014925373</v>
      </c>
      <c r="AA217" t="str">
        <f t="shared" si="36"/>
        <v>1.83913028760788,15.2953056871148</v>
      </c>
      <c r="AB217" t="str">
        <f t="shared" si="37"/>
        <v>0.247826120067388,14.9894801739932</v>
      </c>
      <c r="AC217" t="str">
        <f t="shared" si="38"/>
        <v>24.3871651297567,2.28923170925812</v>
      </c>
    </row>
    <row r="218" spans="2:29" x14ac:dyDescent="0.2">
      <c r="B218" s="3">
        <v>216</v>
      </c>
      <c r="C218" s="6">
        <v>0.954545454545491</v>
      </c>
      <c r="D218" s="6">
        <v>12.0597014925373</v>
      </c>
      <c r="E218" s="8">
        <v>0</v>
      </c>
      <c r="F218" s="7"/>
      <c r="G218" s="10">
        <v>1.82607149894754</v>
      </c>
      <c r="H218" s="10">
        <v>14.2953909567309</v>
      </c>
      <c r="I218" s="10">
        <v>-2.3018968776373501E-2</v>
      </c>
      <c r="K218" s="10">
        <v>0.22480918409187101</v>
      </c>
      <c r="L218" s="10">
        <v>13.9897450987566</v>
      </c>
      <c r="M218" s="10">
        <v>-3.6666645588422801E-2</v>
      </c>
      <c r="N218" s="13"/>
      <c r="O218" s="10">
        <v>24.560118550692401</v>
      </c>
      <c r="P218" s="10">
        <v>1.3043017045437499</v>
      </c>
      <c r="Q218" s="10">
        <v>0.15815173159202001</v>
      </c>
      <c r="R218" s="13"/>
      <c r="S218" s="20">
        <v>0</v>
      </c>
      <c r="T218" s="13"/>
      <c r="U218" s="13">
        <f t="shared" si="31"/>
        <v>0</v>
      </c>
      <c r="V218" s="13">
        <f t="shared" si="41"/>
        <v>-1.3188897596296225</v>
      </c>
      <c r="W218" s="13">
        <f t="shared" si="39"/>
        <v>-2.1008440411186058</v>
      </c>
      <c r="X218" s="13">
        <f t="shared" si="40"/>
        <v>9.0614267429085551</v>
      </c>
      <c r="Z218" t="str">
        <f t="shared" si="35"/>
        <v>0.954545454545491,12.0597014925373</v>
      </c>
      <c r="AA218" t="str">
        <f t="shared" si="36"/>
        <v>1.82607149894754,14.2953909567309</v>
      </c>
      <c r="AB218" t="str">
        <f t="shared" si="37"/>
        <v>0.224809184091871,13.9897450987566</v>
      </c>
      <c r="AC218" t="str">
        <f t="shared" si="38"/>
        <v>24.5601185506924,1.30430170454375</v>
      </c>
    </row>
    <row r="219" spans="2:29" x14ac:dyDescent="0.2">
      <c r="B219" s="3">
        <v>217</v>
      </c>
      <c r="C219" s="6">
        <v>0.954545454545491</v>
      </c>
      <c r="D219" s="6">
        <v>11.0597014925373</v>
      </c>
      <c r="E219" s="8">
        <v>0</v>
      </c>
      <c r="F219" s="7"/>
      <c r="G219" s="10">
        <v>1.80305456297202</v>
      </c>
      <c r="H219" s="10">
        <v>13.2956558814943</v>
      </c>
      <c r="I219" s="10">
        <v>-3.6666645588422801E-2</v>
      </c>
      <c r="K219" s="10">
        <v>0.18815075398638001</v>
      </c>
      <c r="L219" s="10">
        <v>12.990417244895699</v>
      </c>
      <c r="M219" s="10">
        <v>-3.7991730373150498E-2</v>
      </c>
      <c r="N219" s="13"/>
      <c r="O219" s="10">
        <v>24.717611825222999</v>
      </c>
      <c r="P219" s="10">
        <v>0.31678164475883303</v>
      </c>
      <c r="Q219" s="10">
        <v>0.15921099269681599</v>
      </c>
      <c r="R219" s="13"/>
      <c r="S219" s="20">
        <v>0</v>
      </c>
      <c r="T219" s="13"/>
      <c r="U219" s="13">
        <f t="shared" si="31"/>
        <v>0</v>
      </c>
      <c r="V219" s="13">
        <f t="shared" si="41"/>
        <v>-2.1008440411186058</v>
      </c>
      <c r="W219" s="13">
        <f t="shared" si="39"/>
        <v>-2.1767658067805038</v>
      </c>
      <c r="X219" s="13">
        <f t="shared" si="40"/>
        <v>9.1221179336157299</v>
      </c>
      <c r="Z219" t="str">
        <f t="shared" si="35"/>
        <v>0.954545454545491,11.0597014925373</v>
      </c>
      <c r="AA219" t="str">
        <f t="shared" si="36"/>
        <v>1.80305456297202,13.2956558814943</v>
      </c>
      <c r="AB219" t="str">
        <f t="shared" si="37"/>
        <v>0.18815075398638,12.9904172448957</v>
      </c>
      <c r="AC219" t="str">
        <f t="shared" si="38"/>
        <v>24.717611825223,0.316781644758833</v>
      </c>
    </row>
    <row r="220" spans="2:29" x14ac:dyDescent="0.2">
      <c r="B220" s="3">
        <v>218</v>
      </c>
      <c r="C220" s="6">
        <v>0.954545454545491</v>
      </c>
      <c r="D220" s="6">
        <v>10.0597014925373</v>
      </c>
      <c r="E220" s="8">
        <v>0</v>
      </c>
      <c r="F220" s="7"/>
      <c r="G220" s="10">
        <v>1.7663961328665301</v>
      </c>
      <c r="H220" s="10">
        <v>12.2963280276335</v>
      </c>
      <c r="I220" s="10">
        <v>-3.7991730373150498E-2</v>
      </c>
      <c r="K220" s="10">
        <v>0.15016816231763899</v>
      </c>
      <c r="L220" s="10">
        <v>11.991138843883199</v>
      </c>
      <c r="M220" s="10">
        <v>-4.6654925026432002E-2</v>
      </c>
      <c r="N220" s="13"/>
      <c r="O220" s="10">
        <v>24.876151052791201</v>
      </c>
      <c r="P220" s="10">
        <v>-0.67057103454177003</v>
      </c>
      <c r="Q220" s="10">
        <v>0.150335502478505</v>
      </c>
      <c r="R220" s="13"/>
      <c r="S220" s="20">
        <v>0</v>
      </c>
      <c r="T220" s="13"/>
      <c r="U220" s="13">
        <f t="shared" si="31"/>
        <v>0</v>
      </c>
      <c r="V220" s="13">
        <f t="shared" si="41"/>
        <v>-2.1767658067805038</v>
      </c>
      <c r="W220" s="13">
        <f t="shared" si="39"/>
        <v>-2.6731302975138345</v>
      </c>
      <c r="X220" s="13">
        <f t="shared" si="40"/>
        <v>8.6135898029968629</v>
      </c>
      <c r="Z220" t="str">
        <f t="shared" si="35"/>
        <v>0.954545454545491,10.0597014925373</v>
      </c>
      <c r="AA220" t="str">
        <f t="shared" si="36"/>
        <v>1.76639613286653,12.2963280276335</v>
      </c>
      <c r="AB220" t="str">
        <f t="shared" si="37"/>
        <v>0.150168162317639,11.9911388438832</v>
      </c>
      <c r="AC220" t="str">
        <f t="shared" si="38"/>
        <v>24.8761510527912,-0.67057103454177</v>
      </c>
    </row>
    <row r="221" spans="2:29" x14ac:dyDescent="0.2">
      <c r="B221" s="3">
        <v>219</v>
      </c>
      <c r="C221" s="6">
        <v>0.954545454545491</v>
      </c>
      <c r="D221" s="6">
        <v>9.0597014925372701</v>
      </c>
      <c r="E221" s="8">
        <v>0</v>
      </c>
      <c r="F221" s="7"/>
      <c r="G221" s="10">
        <v>1.7284135411977899</v>
      </c>
      <c r="H221" s="10">
        <v>11.2970496266209</v>
      </c>
      <c r="I221" s="10">
        <v>-4.6654925026432002E-2</v>
      </c>
      <c r="K221" s="10">
        <v>0.10353016093871199</v>
      </c>
      <c r="L221" s="10">
        <v>10.9922269874978</v>
      </c>
      <c r="M221" s="10">
        <v>-9.9695152074842693E-3</v>
      </c>
      <c r="N221" s="13"/>
      <c r="O221" s="10">
        <v>25.025920911995399</v>
      </c>
      <c r="P221" s="10">
        <v>-1.6592919199659399</v>
      </c>
      <c r="Q221" s="10">
        <v>0.180050203518442</v>
      </c>
      <c r="R221" s="13"/>
      <c r="S221" s="20">
        <v>0</v>
      </c>
      <c r="T221" s="13"/>
      <c r="U221" s="13">
        <f t="shared" si="31"/>
        <v>0</v>
      </c>
      <c r="V221" s="13">
        <f t="shared" si="41"/>
        <v>-2.6731302975138345</v>
      </c>
      <c r="W221" s="13">
        <f t="shared" si="39"/>
        <v>-0.57121114518033989</v>
      </c>
      <c r="X221" s="13">
        <f t="shared" si="40"/>
        <v>10.316116762078252</v>
      </c>
      <c r="Z221" t="str">
        <f t="shared" si="35"/>
        <v>0.954545454545491,9.05970149253727</v>
      </c>
      <c r="AA221" t="str">
        <f t="shared" si="36"/>
        <v>1.72841354119779,11.2970496266209</v>
      </c>
      <c r="AB221" t="str">
        <f t="shared" si="37"/>
        <v>0.103530160938712,10.9922269874978</v>
      </c>
      <c r="AC221" t="str">
        <f t="shared" si="38"/>
        <v>25.0259209119954,-1.65929191996594</v>
      </c>
    </row>
    <row r="222" spans="2:29" x14ac:dyDescent="0.2">
      <c r="B222" s="3">
        <v>220</v>
      </c>
      <c r="C222" s="6">
        <v>0.954545454545491</v>
      </c>
      <c r="D222" s="6">
        <v>8.0597014925372701</v>
      </c>
      <c r="E222" s="8">
        <v>0</v>
      </c>
      <c r="F222" s="7"/>
      <c r="G222" s="10">
        <v>1.6817755398188601</v>
      </c>
      <c r="H222" s="10">
        <v>10.298137770235501</v>
      </c>
      <c r="I222" s="10">
        <v>-9.9695152074842693E-3</v>
      </c>
      <c r="K222" s="10">
        <v>9.3560810877475795E-2</v>
      </c>
      <c r="L222" s="10">
        <v>9.9922766827029292</v>
      </c>
      <c r="M222" s="10">
        <v>-3.9388630930960698E-2</v>
      </c>
      <c r="N222" s="13"/>
      <c r="O222" s="10">
        <v>25.2049998776106</v>
      </c>
      <c r="P222" s="10">
        <v>-2.6431266235997399</v>
      </c>
      <c r="Q222" s="10">
        <v>0.16231436854084599</v>
      </c>
      <c r="R222" s="13"/>
      <c r="S222" s="20">
        <v>0</v>
      </c>
      <c r="T222" s="13"/>
      <c r="U222" s="13">
        <f t="shared" si="31"/>
        <v>0</v>
      </c>
      <c r="V222" s="13">
        <f t="shared" si="41"/>
        <v>-0.57121114518033989</v>
      </c>
      <c r="W222" s="13">
        <f t="shared" si="39"/>
        <v>-2.2568023131424986</v>
      </c>
      <c r="X222" s="13">
        <f t="shared" si="40"/>
        <v>9.2999282717214982</v>
      </c>
      <c r="Z222" t="str">
        <f t="shared" si="35"/>
        <v>0.954545454545491,8.05970149253727</v>
      </c>
      <c r="AA222" t="str">
        <f t="shared" si="36"/>
        <v>1.68177553981886,10.2981377702355</v>
      </c>
      <c r="AB222" t="str">
        <f t="shared" si="37"/>
        <v>0.0935608108774758,9.99227668270293</v>
      </c>
      <c r="AC222" t="str">
        <f t="shared" si="38"/>
        <v>25.2049998776106,-2.64312662359974</v>
      </c>
    </row>
    <row r="223" spans="2:29" x14ac:dyDescent="0.2">
      <c r="B223" s="3">
        <v>221</v>
      </c>
      <c r="C223" s="6">
        <v>0.954545454545491</v>
      </c>
      <c r="D223" s="6">
        <v>7.0597014925372701</v>
      </c>
      <c r="E223" s="8">
        <v>0</v>
      </c>
      <c r="F223" s="7"/>
      <c r="G223" s="10">
        <v>1.67180618975763</v>
      </c>
      <c r="H223" s="10">
        <v>9.29818746544065</v>
      </c>
      <c r="I223" s="10">
        <v>-3.9388630930960698E-2</v>
      </c>
      <c r="K223" s="10">
        <v>5.4182364165229098E-2</v>
      </c>
      <c r="L223" s="10">
        <v>8.9930523145380405</v>
      </c>
      <c r="M223" s="10">
        <v>-8.1736701900647704E-3</v>
      </c>
      <c r="N223" s="13"/>
      <c r="O223" s="10">
        <v>25.3666024632744</v>
      </c>
      <c r="P223" s="10">
        <v>-3.6299825423167298</v>
      </c>
      <c r="Q223" s="10">
        <v>0.19360489168221301</v>
      </c>
      <c r="R223" s="13"/>
      <c r="S223" s="20">
        <v>0</v>
      </c>
      <c r="T223" s="13"/>
      <c r="U223" s="13">
        <f t="shared" si="31"/>
        <v>0</v>
      </c>
      <c r="V223" s="13">
        <f t="shared" si="41"/>
        <v>-2.2568023131424986</v>
      </c>
      <c r="W223" s="13">
        <f t="shared" si="39"/>
        <v>-0.46831680502260481</v>
      </c>
      <c r="X223" s="13">
        <f t="shared" si="40"/>
        <v>11.092743186478263</v>
      </c>
      <c r="Z223" t="str">
        <f t="shared" si="35"/>
        <v>0.954545454545491,7.05970149253727</v>
      </c>
      <c r="AA223" t="str">
        <f t="shared" si="36"/>
        <v>1.67180618975763,9.29818746544065</v>
      </c>
      <c r="AB223" t="str">
        <f t="shared" si="37"/>
        <v>0.0541823641652291,8.99305231453804</v>
      </c>
      <c r="AC223" t="str">
        <f t="shared" si="38"/>
        <v>25.3666024632744,-3.62998254231673</v>
      </c>
    </row>
    <row r="224" spans="2:29" x14ac:dyDescent="0.2">
      <c r="B224" s="3">
        <v>222</v>
      </c>
      <c r="C224" s="6">
        <v>0.954545454545491</v>
      </c>
      <c r="D224" s="6">
        <v>6.0597014925372701</v>
      </c>
      <c r="E224" s="8">
        <v>0</v>
      </c>
      <c r="F224" s="7"/>
      <c r="G224" s="10">
        <v>1.63242774304538</v>
      </c>
      <c r="H224" s="10">
        <v>8.2989630972757507</v>
      </c>
      <c r="I224" s="10">
        <v>-8.1736701900647704E-3</v>
      </c>
      <c r="K224" s="10">
        <v>4.6008784987158102E-2</v>
      </c>
      <c r="L224" s="10">
        <v>7.9930857187942497</v>
      </c>
      <c r="M224" s="10">
        <v>9.6557419956795499E-3</v>
      </c>
      <c r="N224" s="13"/>
      <c r="O224" s="10">
        <v>25.559000142350399</v>
      </c>
      <c r="P224" s="10">
        <v>-4.6112995823635199</v>
      </c>
      <c r="Q224" s="10">
        <v>0.21121185815883101</v>
      </c>
      <c r="R224" s="13"/>
      <c r="S224" s="20">
        <v>0</v>
      </c>
      <c r="T224" s="13"/>
      <c r="U224" s="13">
        <f t="shared" si="31"/>
        <v>0</v>
      </c>
      <c r="V224" s="13">
        <f t="shared" si="41"/>
        <v>-0.46831680502260481</v>
      </c>
      <c r="W224" s="13">
        <f t="shared" si="39"/>
        <v>0.55323326441966503</v>
      </c>
      <c r="X224" s="13">
        <f t="shared" si="40"/>
        <v>12.101548055616799</v>
      </c>
      <c r="Z224" t="str">
        <f t="shared" si="35"/>
        <v>0.954545454545491,6.05970149253727</v>
      </c>
      <c r="AA224" t="str">
        <f t="shared" si="36"/>
        <v>1.63242774304538,8.29896309727575</v>
      </c>
      <c r="AB224" t="str">
        <f t="shared" si="37"/>
        <v>0.0460087849871581,7.99308571879425</v>
      </c>
      <c r="AC224" t="str">
        <f t="shared" si="38"/>
        <v>25.5590001423504,-4.61129958236352</v>
      </c>
    </row>
    <row r="225" spans="2:29" x14ac:dyDescent="0.2">
      <c r="B225" s="3">
        <v>223</v>
      </c>
      <c r="C225" s="6">
        <v>0.954545454545491</v>
      </c>
      <c r="D225" s="6">
        <v>5.0597014925372701</v>
      </c>
      <c r="E225" s="8">
        <v>0</v>
      </c>
      <c r="F225" s="7"/>
      <c r="G225" s="10">
        <v>1.62425416386731</v>
      </c>
      <c r="H225" s="10">
        <v>7.2989965015319598</v>
      </c>
      <c r="I225" s="10">
        <v>9.6557419956795499E-3</v>
      </c>
      <c r="K225" s="10">
        <v>5.56643769440026E-2</v>
      </c>
      <c r="L225" s="10">
        <v>6.9931323351088102</v>
      </c>
      <c r="M225" s="10">
        <v>-1.67559917745717E-2</v>
      </c>
      <c r="N225" s="13"/>
      <c r="O225" s="10">
        <v>25.768645123577901</v>
      </c>
      <c r="P225" s="10">
        <v>-5.5890771551509699</v>
      </c>
      <c r="Q225" s="10">
        <v>0.19828176736657699</v>
      </c>
      <c r="R225" s="13"/>
      <c r="S225" s="20">
        <v>0</v>
      </c>
      <c r="T225" s="13"/>
      <c r="U225" s="13">
        <f t="shared" si="31"/>
        <v>0</v>
      </c>
      <c r="V225" s="13">
        <f t="shared" si="41"/>
        <v>0.55323326441966503</v>
      </c>
      <c r="W225" s="13">
        <f t="shared" si="39"/>
        <v>-0.96004761023888108</v>
      </c>
      <c r="X225" s="13">
        <f t="shared" si="40"/>
        <v>11.360708424499677</v>
      </c>
      <c r="Z225" t="str">
        <f t="shared" si="35"/>
        <v>0.954545454545491,5.05970149253727</v>
      </c>
      <c r="AA225" t="str">
        <f t="shared" si="36"/>
        <v>1.62425416386731,7.29899650153196</v>
      </c>
      <c r="AB225" t="str">
        <f t="shared" si="37"/>
        <v>0.0556643769440026,6.99313233510881</v>
      </c>
      <c r="AC225" t="str">
        <f t="shared" si="38"/>
        <v>25.7686451235779,-5.58907715515097</v>
      </c>
    </row>
    <row r="226" spans="2:29" x14ac:dyDescent="0.2">
      <c r="B226" s="3">
        <v>224</v>
      </c>
      <c r="C226" s="6">
        <v>0.954545454545491</v>
      </c>
      <c r="D226" s="6">
        <v>4.0597014925372701</v>
      </c>
      <c r="E226" s="8">
        <v>0</v>
      </c>
      <c r="F226" s="7"/>
      <c r="G226" s="10">
        <v>1.63390975582415</v>
      </c>
      <c r="H226" s="10">
        <v>6.2990431178465203</v>
      </c>
      <c r="I226" s="10">
        <v>-1.67559917745717E-2</v>
      </c>
      <c r="K226" s="10">
        <v>3.8909169236237502E-2</v>
      </c>
      <c r="L226" s="10">
        <v>5.9932727134545196</v>
      </c>
      <c r="M226" s="10">
        <v>7.44449548313486E-3</v>
      </c>
      <c r="N226" s="13"/>
      <c r="O226" s="10">
        <v>25.965630179556602</v>
      </c>
      <c r="P226" s="10">
        <v>-6.5694836462152999</v>
      </c>
      <c r="Q226" s="10">
        <v>0.22207862446908799</v>
      </c>
      <c r="R226" s="13"/>
      <c r="S226" s="20">
        <v>0</v>
      </c>
      <c r="T226" s="13"/>
      <c r="U226" s="13">
        <f t="shared" si="31"/>
        <v>0</v>
      </c>
      <c r="V226" s="13">
        <f t="shared" si="41"/>
        <v>-0.96004761023888108</v>
      </c>
      <c r="W226" s="13">
        <f t="shared" si="39"/>
        <v>0.42653817178783215</v>
      </c>
      <c r="X226" s="13">
        <f t="shared" si="40"/>
        <v>12.724167902149475</v>
      </c>
      <c r="Z226" t="str">
        <f t="shared" si="35"/>
        <v>0.954545454545491,4.05970149253727</v>
      </c>
      <c r="AA226" t="str">
        <f t="shared" si="36"/>
        <v>1.63390975582415,6.29904311784652</v>
      </c>
      <c r="AB226" t="str">
        <f t="shared" si="37"/>
        <v>0.0389091692362375,5.99327271345452</v>
      </c>
      <c r="AC226" t="str">
        <f t="shared" si="38"/>
        <v>25.9656301795566,-6.5694836462153</v>
      </c>
    </row>
    <row r="227" spans="2:29" x14ac:dyDescent="0.2">
      <c r="B227" s="3">
        <v>225</v>
      </c>
      <c r="C227" s="6">
        <v>0.954545454545491</v>
      </c>
      <c r="D227" s="6">
        <v>3.0597014925372599</v>
      </c>
      <c r="E227" s="8">
        <v>0</v>
      </c>
      <c r="F227" s="7"/>
      <c r="G227" s="10">
        <v>1.61715454811639</v>
      </c>
      <c r="H227" s="10">
        <v>5.2991834961922297</v>
      </c>
      <c r="I227" s="10">
        <v>7.44449548313486E-3</v>
      </c>
      <c r="K227" s="10">
        <v>4.6353595956603197E-2</v>
      </c>
      <c r="L227" s="10">
        <v>4.9933004235830403</v>
      </c>
      <c r="M227" s="10">
        <v>-4.65597616455206E-4</v>
      </c>
      <c r="N227" s="13"/>
      <c r="O227" s="10">
        <v>26.1858878540442</v>
      </c>
      <c r="P227" s="10">
        <v>-7.5449253701687597</v>
      </c>
      <c r="Q227" s="10">
        <v>0.205250319999772</v>
      </c>
      <c r="R227" s="13"/>
      <c r="S227" s="20">
        <v>0</v>
      </c>
      <c r="T227" s="13"/>
      <c r="U227" s="13">
        <f t="shared" si="31"/>
        <v>0</v>
      </c>
      <c r="V227" s="13">
        <f t="shared" si="41"/>
        <v>0.42653817178783215</v>
      </c>
      <c r="W227" s="13">
        <f t="shared" si="39"/>
        <v>-2.6676778374234156E-2</v>
      </c>
      <c r="X227" s="13">
        <f t="shared" si="40"/>
        <v>11.759977079696526</v>
      </c>
      <c r="Z227" t="str">
        <f t="shared" si="35"/>
        <v>0.954545454545491,3.05970149253726</v>
      </c>
      <c r="AA227" t="str">
        <f t="shared" si="36"/>
        <v>1.61715454811639,5.29918349619223</v>
      </c>
      <c r="AB227" t="str">
        <f t="shared" si="37"/>
        <v>0.0463535959566032,4.99330042358304</v>
      </c>
      <c r="AC227" t="str">
        <f t="shared" si="38"/>
        <v>26.1858878540442,-7.54492537016876</v>
      </c>
    </row>
    <row r="228" spans="2:29" x14ac:dyDescent="0.2">
      <c r="B228" s="3">
        <v>226</v>
      </c>
      <c r="C228" s="6">
        <v>0.954545454545491</v>
      </c>
      <c r="D228" s="6">
        <v>2.0597014925372599</v>
      </c>
      <c r="E228" s="8">
        <v>0</v>
      </c>
      <c r="F228" s="7"/>
      <c r="G228" s="10">
        <v>1.62459897483675</v>
      </c>
      <c r="H228" s="10">
        <v>4.2992112063207504</v>
      </c>
      <c r="I228" s="10">
        <v>-4.65597616455206E-4</v>
      </c>
      <c r="K228" s="10">
        <v>4.5887998356970099E-2</v>
      </c>
      <c r="L228" s="10">
        <v>3.9933005319736101</v>
      </c>
      <c r="M228" s="10">
        <v>-3.8081212174797902E-2</v>
      </c>
      <c r="N228" s="13"/>
      <c r="O228" s="10">
        <v>26.3897000861141</v>
      </c>
      <c r="P228" s="10">
        <v>-8.5239353670833502</v>
      </c>
      <c r="Q228" s="10">
        <v>0.172069389267655</v>
      </c>
      <c r="R228" s="13"/>
      <c r="S228" s="20">
        <v>0</v>
      </c>
      <c r="T228" s="13"/>
      <c r="U228" s="13">
        <f t="shared" si="31"/>
        <v>0</v>
      </c>
      <c r="V228" s="13">
        <f t="shared" si="41"/>
        <v>-2.6676778374234156E-2</v>
      </c>
      <c r="W228" s="13">
        <f t="shared" si="39"/>
        <v>-2.1818927363581269</v>
      </c>
      <c r="X228" s="13">
        <f t="shared" si="40"/>
        <v>9.8588497884302946</v>
      </c>
      <c r="Z228" t="str">
        <f t="shared" si="35"/>
        <v>0.954545454545491,2.05970149253726</v>
      </c>
      <c r="AA228" t="str">
        <f t="shared" si="36"/>
        <v>1.62459897483675,4.29921120632075</v>
      </c>
      <c r="AB228" t="str">
        <f t="shared" si="37"/>
        <v>0.0458879983569701,3.99330053197361</v>
      </c>
      <c r="AC228" t="str">
        <f t="shared" si="38"/>
        <v>26.3897000861141,-8.52393536708335</v>
      </c>
    </row>
    <row r="229" spans="2:29" x14ac:dyDescent="0.2">
      <c r="B229" s="3">
        <v>227</v>
      </c>
      <c r="C229" s="6">
        <v>0.954545454545491</v>
      </c>
      <c r="D229" s="6">
        <v>1.0597014925372601</v>
      </c>
      <c r="E229" s="8">
        <v>0</v>
      </c>
      <c r="F229" s="7"/>
      <c r="G229" s="10">
        <v>1.62413337723712</v>
      </c>
      <c r="H229" s="10">
        <v>3.2992113147113198</v>
      </c>
      <c r="I229" s="10">
        <v>-3.8081212174797902E-2</v>
      </c>
      <c r="K229" s="10">
        <v>7.81598960874187E-3</v>
      </c>
      <c r="L229" s="10">
        <v>2.99402553371243</v>
      </c>
      <c r="M229" s="10">
        <v>9.4823880645576004E-4</v>
      </c>
      <c r="N229" s="13"/>
      <c r="O229" s="10">
        <v>26.560921630013699</v>
      </c>
      <c r="P229" s="10">
        <v>-9.5091679197858294</v>
      </c>
      <c r="Q229" s="10">
        <v>0.19425242541764201</v>
      </c>
      <c r="R229" s="13"/>
      <c r="S229" s="20">
        <v>0</v>
      </c>
      <c r="T229" s="13"/>
      <c r="U229" s="13">
        <f t="shared" si="31"/>
        <v>0</v>
      </c>
      <c r="V229" s="13">
        <f t="shared" si="41"/>
        <v>-2.1818927363581269</v>
      </c>
      <c r="W229" s="13">
        <f t="shared" si="39"/>
        <v>5.4330081580437568E-2</v>
      </c>
      <c r="X229" s="13">
        <f t="shared" si="40"/>
        <v>11.129844136610684</v>
      </c>
      <c r="Z229" t="str">
        <f t="shared" si="35"/>
        <v>0.954545454545491,1.05970149253726</v>
      </c>
      <c r="AA229" t="str">
        <f t="shared" si="36"/>
        <v>1.62413337723712,3.29921131471132</v>
      </c>
      <c r="AB229" t="str">
        <f t="shared" si="37"/>
        <v>0.00781598960874187,2.99402553371243</v>
      </c>
      <c r="AC229" t="str">
        <f t="shared" si="38"/>
        <v>26.5609216300137,-9.50916791978583</v>
      </c>
    </row>
    <row r="230" spans="2:29" x14ac:dyDescent="0.2">
      <c r="B230" s="3">
        <v>228</v>
      </c>
      <c r="C230" s="6">
        <v>0.954545454545491</v>
      </c>
      <c r="D230" s="6">
        <v>5.9701492537264797E-2</v>
      </c>
      <c r="E230" s="8">
        <v>0</v>
      </c>
      <c r="F230" s="7"/>
      <c r="G230" s="10">
        <v>1.58606136848889</v>
      </c>
      <c r="H230" s="10">
        <v>2.2999363164501401</v>
      </c>
      <c r="I230" s="10">
        <v>9.4823880645576004E-4</v>
      </c>
      <c r="K230" s="10">
        <v>8.7642282730950698E-3</v>
      </c>
      <c r="L230" s="10">
        <v>1.99402598329081</v>
      </c>
      <c r="M230" s="10">
        <v>1.8166301060620699E-2</v>
      </c>
      <c r="N230" s="13"/>
      <c r="O230" s="10">
        <v>26.7539547045976</v>
      </c>
      <c r="P230" s="10">
        <v>-10.4903601701204</v>
      </c>
      <c r="Q230" s="10">
        <v>0.244370288239736</v>
      </c>
      <c r="R230" s="13"/>
      <c r="S230" s="20">
        <v>0</v>
      </c>
      <c r="T230" s="13"/>
      <c r="U230" s="13">
        <f t="shared" si="31"/>
        <v>0</v>
      </c>
      <c r="V230" s="13">
        <f t="shared" si="41"/>
        <v>5.4330081580437568E-2</v>
      </c>
      <c r="W230" s="13">
        <f t="shared" si="39"/>
        <v>1.0408523801375971</v>
      </c>
      <c r="X230" s="13">
        <f t="shared" si="40"/>
        <v>14.001386154532289</v>
      </c>
      <c r="Z230" t="str">
        <f t="shared" si="35"/>
        <v>0.954545454545491,0.0597014925372648</v>
      </c>
      <c r="AA230" t="str">
        <f t="shared" si="36"/>
        <v>1.58606136848889,2.29993631645014</v>
      </c>
      <c r="AB230" t="str">
        <f t="shared" si="37"/>
        <v>0.00876422827309507,1.99402598329081</v>
      </c>
      <c r="AC230" t="str">
        <f t="shared" si="38"/>
        <v>26.7539547045976,-10.4903601701204</v>
      </c>
    </row>
  </sheetData>
  <mergeCells count="2">
    <mergeCell ref="B1:E1"/>
    <mergeCell ref="G1:I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0BDC-B9AA-42D5-AA96-DC5D957FE45B}">
  <dimension ref="B1:AE246"/>
  <sheetViews>
    <sheetView topLeftCell="F208" workbookViewId="0">
      <selection activeCell="U3" sqref="U3:X246"/>
    </sheetView>
  </sheetViews>
  <sheetFormatPr defaultRowHeight="14.25" x14ac:dyDescent="0.2"/>
  <cols>
    <col min="3" max="4" width="9" style="7"/>
    <col min="5" max="5" width="11" style="7" bestFit="1" customWidth="1"/>
    <col min="8" max="9" width="9" style="11"/>
    <col min="28" max="28" width="36.375" customWidth="1"/>
    <col min="29" max="29" width="34.5" customWidth="1"/>
    <col min="30" max="31" width="33.75" customWidth="1"/>
  </cols>
  <sheetData>
    <row r="1" spans="2:31" x14ac:dyDescent="0.2">
      <c r="B1" s="15"/>
      <c r="C1" s="15"/>
      <c r="D1" s="15"/>
      <c r="E1" s="15"/>
      <c r="G1" s="16"/>
      <c r="H1" s="16"/>
      <c r="I1" s="16"/>
    </row>
    <row r="2" spans="2:31" x14ac:dyDescent="0.2">
      <c r="B2" s="2" t="s">
        <v>2</v>
      </c>
      <c r="C2" s="4" t="s">
        <v>0</v>
      </c>
      <c r="D2" s="4" t="s">
        <v>1</v>
      </c>
      <c r="E2" s="5" t="s">
        <v>3</v>
      </c>
      <c r="G2" s="9" t="s">
        <v>0</v>
      </c>
      <c r="H2" s="9" t="s">
        <v>0</v>
      </c>
      <c r="I2" s="1" t="s">
        <v>5</v>
      </c>
      <c r="K2" s="9" t="s">
        <v>0</v>
      </c>
      <c r="L2" s="9" t="s">
        <v>1</v>
      </c>
      <c r="M2" s="9" t="s">
        <v>4</v>
      </c>
      <c r="N2" s="14"/>
      <c r="O2" s="9" t="s">
        <v>0</v>
      </c>
      <c r="P2" s="9" t="s">
        <v>1</v>
      </c>
      <c r="Q2" s="9" t="s">
        <v>9</v>
      </c>
      <c r="R2" s="12"/>
      <c r="S2" s="12"/>
      <c r="T2" s="12"/>
      <c r="U2" s="12"/>
      <c r="V2" s="12"/>
      <c r="W2" s="12"/>
      <c r="X2" s="12"/>
      <c r="Y2" s="12"/>
      <c r="Z2" s="12"/>
      <c r="AB2" s="12" t="s">
        <v>6</v>
      </c>
      <c r="AC2" s="12" t="s">
        <v>7</v>
      </c>
      <c r="AD2" s="12" t="s">
        <v>8</v>
      </c>
      <c r="AE2" s="12" t="s">
        <v>10</v>
      </c>
    </row>
    <row r="3" spans="2:31" x14ac:dyDescent="0.2">
      <c r="B3" s="3">
        <v>1</v>
      </c>
      <c r="C3" s="6">
        <v>0</v>
      </c>
      <c r="D3" s="6">
        <v>0</v>
      </c>
      <c r="E3" s="8">
        <v>1.5707963267949001</v>
      </c>
      <c r="F3" s="7"/>
      <c r="G3" s="10">
        <v>0</v>
      </c>
      <c r="H3" s="10">
        <v>0</v>
      </c>
      <c r="I3" s="10">
        <v>1.798385797056</v>
      </c>
      <c r="K3" s="10">
        <v>0</v>
      </c>
      <c r="L3" s="10">
        <v>0</v>
      </c>
      <c r="M3" s="10">
        <v>1.798385797056</v>
      </c>
      <c r="N3" s="13"/>
      <c r="O3" s="10">
        <v>0</v>
      </c>
      <c r="P3" s="10">
        <v>0</v>
      </c>
      <c r="Q3" s="10">
        <v>1.7791402504213101</v>
      </c>
      <c r="R3" s="13"/>
      <c r="S3" s="8">
        <v>3.14159265358979</v>
      </c>
      <c r="T3" s="13"/>
      <c r="U3" s="13">
        <f>(E3-S3)*180/PI()</f>
        <v>-89.999999999999616</v>
      </c>
      <c r="V3" s="13">
        <f>(I3-S3)*180/PI()</f>
        <v>-76.960083892420428</v>
      </c>
      <c r="W3" s="13">
        <f>(M3-S3)*180/PI()</f>
        <v>-76.960083892420428</v>
      </c>
      <c r="X3" s="13">
        <f>(Q3-S3)*180/PI()</f>
        <v>-78.062772489010371</v>
      </c>
      <c r="Y3" s="13"/>
      <c r="Z3" s="13"/>
      <c r="AB3" t="str">
        <f>C3&amp;","&amp;D3</f>
        <v>0,0</v>
      </c>
      <c r="AC3" t="str">
        <f>G3&amp;","&amp;H3</f>
        <v>0,0</v>
      </c>
      <c r="AD3" t="str">
        <f>K3&amp;","&amp;L3</f>
        <v>0,0</v>
      </c>
      <c r="AE3" t="str">
        <f>O3&amp;","&amp;P3</f>
        <v>0,0</v>
      </c>
    </row>
    <row r="4" spans="2:31" x14ac:dyDescent="0.2">
      <c r="B4" s="3">
        <v>2</v>
      </c>
      <c r="C4" s="6">
        <v>-4.85237410982914E-17</v>
      </c>
      <c r="D4" s="6">
        <v>-0.79245283018867896</v>
      </c>
      <c r="E4" s="8">
        <v>1.5707963267949001</v>
      </c>
      <c r="F4" s="7"/>
      <c r="G4" s="10">
        <v>0.17880098282360099</v>
      </c>
      <c r="H4" s="10">
        <v>-0.772017938013983</v>
      </c>
      <c r="I4" s="10">
        <v>2.5570459430754999</v>
      </c>
      <c r="K4" s="10">
        <v>0.17880098282360099</v>
      </c>
      <c r="L4" s="10">
        <v>-0.772017938013983</v>
      </c>
      <c r="M4" s="10">
        <v>2.5570459430754999</v>
      </c>
      <c r="N4" s="13"/>
      <c r="O4" s="10">
        <v>0.16391088066257301</v>
      </c>
      <c r="P4" s="10">
        <v>-0.77531587838407401</v>
      </c>
      <c r="Q4" s="10">
        <v>2.67889689048621</v>
      </c>
      <c r="R4" s="13"/>
      <c r="S4" s="8">
        <v>3.14159265358979</v>
      </c>
      <c r="T4" s="13"/>
      <c r="U4" s="13">
        <f t="shared" ref="U4:U67" si="0">(E4-S4)*180/PI()</f>
        <v>-89.999999999999616</v>
      </c>
      <c r="V4" s="13">
        <f t="shared" ref="V4:V67" si="1">(I4-S4)*180/PI()</f>
        <v>-33.492059440724326</v>
      </c>
      <c r="W4" s="13">
        <f t="shared" ref="W4:W67" si="2">(M4-S4)*180/PI()</f>
        <v>-33.492059440724326</v>
      </c>
      <c r="X4" s="13">
        <f t="shared" ref="X4:X67" si="3">(Q4-S4)*180/PI()</f>
        <v>-26.510514424420091</v>
      </c>
      <c r="Y4" s="13"/>
      <c r="Z4" s="13"/>
      <c r="AB4" t="str">
        <f t="shared" ref="AB4:AB67" si="4">C4&amp;","&amp;D4</f>
        <v>-4.85237410982914E-17,-0.792452830188679</v>
      </c>
      <c r="AC4" t="str">
        <f t="shared" ref="AC4:AC67" si="5">G4&amp;","&amp;H4</f>
        <v>0.178800982823601,-0.772017938013983</v>
      </c>
      <c r="AD4" t="str">
        <f t="shared" ref="AD4:AD67" si="6">K4&amp;","&amp;L4</f>
        <v>0.178800982823601,-0.772017938013983</v>
      </c>
      <c r="AE4" t="str">
        <f t="shared" ref="AE4:AE67" si="7">O4&amp;","&amp;P4</f>
        <v>0.163910880662573,-0.775315878384074</v>
      </c>
    </row>
    <row r="5" spans="2:31" x14ac:dyDescent="0.2">
      <c r="B5" s="3">
        <v>3</v>
      </c>
      <c r="C5" s="6">
        <v>-9.7047482196582702E-17</v>
      </c>
      <c r="D5" s="6">
        <v>-1.5849056603773599</v>
      </c>
      <c r="E5" s="8">
        <v>3.14159265358979</v>
      </c>
      <c r="F5" s="7"/>
      <c r="G5" s="10">
        <v>0.83967677280136699</v>
      </c>
      <c r="H5" s="10">
        <v>-1.2093103782588499</v>
      </c>
      <c r="I5" s="10">
        <v>3.0375055041526799</v>
      </c>
      <c r="K5" s="10">
        <v>0.83967677280136699</v>
      </c>
      <c r="L5" s="10">
        <v>-1.2093103782588499</v>
      </c>
      <c r="M5" s="10">
        <v>3.0375055041526799</v>
      </c>
      <c r="N5" s="13"/>
      <c r="O5" s="10">
        <v>0.873039248504488</v>
      </c>
      <c r="P5" s="10">
        <v>-1.12903673724867</v>
      </c>
      <c r="Q5" s="10">
        <v>3.1086641764138498</v>
      </c>
      <c r="R5" s="13"/>
      <c r="S5" s="8">
        <v>3.14159265358979</v>
      </c>
      <c r="T5" s="13"/>
      <c r="U5" s="13">
        <f t="shared" si="0"/>
        <v>0</v>
      </c>
      <c r="V5" s="13">
        <f t="shared" si="1"/>
        <v>-5.9637543642939086</v>
      </c>
      <c r="W5" s="13">
        <f t="shared" si="2"/>
        <v>-5.9637543642939086</v>
      </c>
      <c r="X5" s="13">
        <f t="shared" si="3"/>
        <v>-1.8866627679742312</v>
      </c>
      <c r="Y5" s="13"/>
      <c r="Z5" s="13"/>
      <c r="AB5" t="str">
        <f t="shared" si="4"/>
        <v>-9.70474821965827E-17,-1.58490566037736</v>
      </c>
      <c r="AC5" t="str">
        <f t="shared" si="5"/>
        <v>0.839676772801367,-1.20931037825885</v>
      </c>
      <c r="AD5" t="str">
        <f t="shared" si="6"/>
        <v>0.839676772801367,-1.20931037825885</v>
      </c>
      <c r="AE5" t="str">
        <f t="shared" si="7"/>
        <v>0.873039248504488,-1.12903673724867</v>
      </c>
    </row>
    <row r="6" spans="2:31" x14ac:dyDescent="0.2">
      <c r="B6" s="3">
        <v>4</v>
      </c>
      <c r="C6" s="6">
        <v>0.79245283018867896</v>
      </c>
      <c r="D6" s="6">
        <v>-1.5849056603773599</v>
      </c>
      <c r="E6" s="8">
        <v>3.14159265358979</v>
      </c>
      <c r="F6" s="7"/>
      <c r="G6" s="10">
        <v>1.6278407069509</v>
      </c>
      <c r="H6" s="10">
        <v>-1.2916456743351901</v>
      </c>
      <c r="I6" s="10">
        <v>2.9111732524795801</v>
      </c>
      <c r="K6" s="10">
        <v>1.6278407069509</v>
      </c>
      <c r="L6" s="10">
        <v>-1.2916456743351901</v>
      </c>
      <c r="M6" s="10">
        <v>2.9111732524795801</v>
      </c>
      <c r="N6" s="13"/>
      <c r="O6" s="10">
        <v>1.6650624953075399</v>
      </c>
      <c r="P6" s="10">
        <v>-1.15512628683456</v>
      </c>
      <c r="Q6" s="10">
        <v>2.9362661346749399</v>
      </c>
      <c r="R6" s="13"/>
      <c r="S6" s="8">
        <v>3.14159265358979</v>
      </c>
      <c r="T6" s="13"/>
      <c r="U6" s="13">
        <f t="shared" si="0"/>
        <v>0</v>
      </c>
      <c r="V6" s="13">
        <f t="shared" si="1"/>
        <v>-13.20205920154706</v>
      </c>
      <c r="W6" s="13">
        <f t="shared" si="2"/>
        <v>-13.20205920154706</v>
      </c>
      <c r="X6" s="13">
        <f t="shared" si="3"/>
        <v>-11.764342955933978</v>
      </c>
      <c r="Y6" s="13"/>
      <c r="Z6" s="13"/>
      <c r="AB6" t="str">
        <f t="shared" si="4"/>
        <v>0.792452830188679,-1.58490566037736</v>
      </c>
      <c r="AC6" t="str">
        <f t="shared" si="5"/>
        <v>1.6278407069509,-1.29164567433519</v>
      </c>
      <c r="AD6" t="str">
        <f t="shared" si="6"/>
        <v>1.6278407069509,-1.29164567433519</v>
      </c>
      <c r="AE6" t="str">
        <f t="shared" si="7"/>
        <v>1.66506249530754,-1.15512628683456</v>
      </c>
    </row>
    <row r="7" spans="2:31" x14ac:dyDescent="0.2">
      <c r="B7" s="3">
        <v>5</v>
      </c>
      <c r="C7" s="6">
        <v>1.5849056603773599</v>
      </c>
      <c r="D7" s="6">
        <v>-1.5849056603773599</v>
      </c>
      <c r="E7" s="8">
        <v>3.14159265358979</v>
      </c>
      <c r="F7" s="7"/>
      <c r="G7" s="10">
        <v>2.3993495598690302</v>
      </c>
      <c r="H7" s="10">
        <v>-1.47263069565741</v>
      </c>
      <c r="I7" s="10">
        <v>2.9111732524795801</v>
      </c>
      <c r="K7" s="10">
        <v>2.3993495598690302</v>
      </c>
      <c r="L7" s="10">
        <v>-1.47263069565741</v>
      </c>
      <c r="M7" s="10">
        <v>-3.0566556537218701</v>
      </c>
      <c r="N7" s="13"/>
      <c r="O7" s="10">
        <v>2.4408694288860402</v>
      </c>
      <c r="P7" s="10">
        <v>-1.31669698308105</v>
      </c>
      <c r="Q7" s="10">
        <v>-2.8801798294332199</v>
      </c>
      <c r="R7" s="13"/>
      <c r="S7" s="8">
        <v>3.14159265358979</v>
      </c>
      <c r="T7" s="13"/>
      <c r="U7" s="13">
        <f t="shared" si="0"/>
        <v>0</v>
      </c>
      <c r="V7" s="13">
        <f t="shared" si="1"/>
        <v>-13.20205920154706</v>
      </c>
      <c r="W7" s="13">
        <f>(M7-S7)*180/PI()+360</f>
        <v>4.86653161693539</v>
      </c>
      <c r="X7" s="13">
        <f t="shared" si="3"/>
        <v>-345.02214846523265</v>
      </c>
      <c r="Y7" s="13"/>
      <c r="Z7" s="13"/>
      <c r="AB7" t="str">
        <f t="shared" si="4"/>
        <v>1.58490566037736,-1.58490566037736</v>
      </c>
      <c r="AC7" t="str">
        <f t="shared" si="5"/>
        <v>2.39934955986903,-1.47263069565741</v>
      </c>
      <c r="AD7" t="str">
        <f t="shared" si="6"/>
        <v>2.39934955986903,-1.47263069565741</v>
      </c>
      <c r="AE7" t="str">
        <f t="shared" si="7"/>
        <v>2.44086942888604,-1.31669698308105</v>
      </c>
    </row>
    <row r="8" spans="2:31" x14ac:dyDescent="0.2">
      <c r="B8" s="3">
        <v>6</v>
      </c>
      <c r="C8" s="6">
        <v>2.3773584905660399</v>
      </c>
      <c r="D8" s="6">
        <v>-1.5849056603773599</v>
      </c>
      <c r="E8" s="8">
        <v>3.14159265358979</v>
      </c>
      <c r="F8" s="7"/>
      <c r="G8" s="10">
        <v>3.1708584127871502</v>
      </c>
      <c r="H8" s="10">
        <v>-1.6536157169796299</v>
      </c>
      <c r="I8" s="10">
        <v>3.14159265358979</v>
      </c>
      <c r="K8" s="10">
        <v>3.1889456143178401</v>
      </c>
      <c r="L8" s="10">
        <v>-1.4054030311664401</v>
      </c>
      <c r="M8" s="10">
        <v>3.13011514376845</v>
      </c>
      <c r="N8" s="13"/>
      <c r="O8" s="10">
        <v>3.2063993114196601</v>
      </c>
      <c r="P8" s="10">
        <v>-1.11189100899313</v>
      </c>
      <c r="Q8" s="10">
        <v>3.1070278493538099</v>
      </c>
      <c r="R8" s="13"/>
      <c r="S8" s="8">
        <v>3.14159265358979</v>
      </c>
      <c r="T8" s="13"/>
      <c r="U8" s="13">
        <f t="shared" si="0"/>
        <v>0</v>
      </c>
      <c r="V8" s="13">
        <f t="shared" si="1"/>
        <v>0</v>
      </c>
      <c r="W8" s="13">
        <f t="shared" si="2"/>
        <v>-0.65761287208273311</v>
      </c>
      <c r="X8" s="13">
        <f t="shared" si="3"/>
        <v>-1.9804174024175683</v>
      </c>
      <c r="Y8" s="13"/>
      <c r="Z8" s="13"/>
      <c r="AB8" t="str">
        <f t="shared" si="4"/>
        <v>2.37735849056604,-1.58490566037736</v>
      </c>
      <c r="AC8" t="str">
        <f t="shared" si="5"/>
        <v>3.17085841278715,-1.65361571697963</v>
      </c>
      <c r="AD8" t="str">
        <f t="shared" si="6"/>
        <v>3.18894561431784,-1.40540303116644</v>
      </c>
      <c r="AE8" t="str">
        <f t="shared" si="7"/>
        <v>3.20639931141966,-1.11189100899313</v>
      </c>
    </row>
    <row r="9" spans="2:31" x14ac:dyDescent="0.2">
      <c r="B9" s="3">
        <v>7</v>
      </c>
      <c r="C9" s="6">
        <v>3.1698113207547198</v>
      </c>
      <c r="D9" s="6">
        <v>-1.5849056603773599</v>
      </c>
      <c r="E9" s="8">
        <v>3.14159265358979</v>
      </c>
      <c r="F9" s="7"/>
      <c r="G9" s="10">
        <v>3.9633112429758302</v>
      </c>
      <c r="H9" s="10">
        <v>-1.6536157169796299</v>
      </c>
      <c r="I9" s="10">
        <v>3.13011514376845</v>
      </c>
      <c r="K9" s="10">
        <v>3.9813462488933702</v>
      </c>
      <c r="L9" s="10">
        <v>-1.4144982166151201</v>
      </c>
      <c r="M9" s="10">
        <v>-2.9615277374484399</v>
      </c>
      <c r="N9" s="13"/>
      <c r="O9" s="10">
        <v>3.9983788068586801</v>
      </c>
      <c r="P9" s="10">
        <v>-1.13927653214334</v>
      </c>
      <c r="Q9" s="10">
        <v>-2.9232864482463001</v>
      </c>
      <c r="R9" s="13"/>
      <c r="S9" s="8">
        <v>3.14159265358979</v>
      </c>
      <c r="T9" s="13"/>
      <c r="U9" s="13">
        <f t="shared" si="0"/>
        <v>0</v>
      </c>
      <c r="V9" s="13">
        <f t="shared" si="1"/>
        <v>-0.65761287208273311</v>
      </c>
      <c r="W9" s="13">
        <f>(M9-S9)*180/PI()+360</f>
        <v>10.316959733276803</v>
      </c>
      <c r="X9" s="13">
        <f t="shared" si="3"/>
        <v>-347.49197579230139</v>
      </c>
      <c r="Y9" s="13"/>
      <c r="Z9" s="13"/>
      <c r="AB9" t="str">
        <f t="shared" si="4"/>
        <v>3.16981132075472,-1.58490566037736</v>
      </c>
      <c r="AC9" t="str">
        <f t="shared" si="5"/>
        <v>3.96331124297583,-1.65361571697963</v>
      </c>
      <c r="AD9" t="str">
        <f t="shared" si="6"/>
        <v>3.98134624889337,-1.41449821661512</v>
      </c>
      <c r="AE9" t="str">
        <f t="shared" si="7"/>
        <v>3.99837880685868,-1.13927653214334</v>
      </c>
    </row>
    <row r="10" spans="2:31" x14ac:dyDescent="0.2">
      <c r="B10" s="3">
        <v>8</v>
      </c>
      <c r="C10" s="6">
        <v>3.9622641509433998</v>
      </c>
      <c r="D10" s="6">
        <v>-1.5849056603773599</v>
      </c>
      <c r="E10" s="8">
        <v>3.14159265358979</v>
      </c>
      <c r="F10" s="7"/>
      <c r="G10" s="10">
        <v>4.7557118775513603</v>
      </c>
      <c r="H10" s="10">
        <v>-1.66271090242831</v>
      </c>
      <c r="I10" s="10">
        <v>3.14159265358979</v>
      </c>
      <c r="K10" s="10">
        <v>4.76098675624909</v>
      </c>
      <c r="L10" s="10">
        <v>-1.27257511291397</v>
      </c>
      <c r="M10" s="10">
        <v>3.08735333723887</v>
      </c>
      <c r="N10" s="13"/>
      <c r="O10" s="10">
        <v>4.7720233122920996</v>
      </c>
      <c r="P10" s="10">
        <v>-0.96764999781157301</v>
      </c>
      <c r="Q10" s="10">
        <v>3.0801612412140398</v>
      </c>
      <c r="R10" s="13"/>
      <c r="S10" s="8">
        <v>3.14159265358979</v>
      </c>
      <c r="T10" s="13"/>
      <c r="U10" s="13">
        <f t="shared" si="0"/>
        <v>0</v>
      </c>
      <c r="V10" s="13">
        <f t="shared" si="1"/>
        <v>0</v>
      </c>
      <c r="W10" s="13">
        <f t="shared" si="2"/>
        <v>-3.1076839105826362</v>
      </c>
      <c r="X10" s="13">
        <f t="shared" si="3"/>
        <v>-3.519760658658222</v>
      </c>
      <c r="Y10" s="13"/>
      <c r="Z10" s="13"/>
      <c r="AB10" t="str">
        <f t="shared" si="4"/>
        <v>3.9622641509434,-1.58490566037736</v>
      </c>
      <c r="AC10" t="str">
        <f t="shared" si="5"/>
        <v>4.75571187755136,-1.66271090242831</v>
      </c>
      <c r="AD10" t="str">
        <f t="shared" si="6"/>
        <v>4.76098675624909,-1.27257511291397</v>
      </c>
      <c r="AE10" t="str">
        <f t="shared" si="7"/>
        <v>4.7720233122921,-0.967649997811573</v>
      </c>
    </row>
    <row r="11" spans="2:31" x14ac:dyDescent="0.2">
      <c r="B11" s="3">
        <v>9</v>
      </c>
      <c r="C11" s="6">
        <v>4.7547169811320797</v>
      </c>
      <c r="D11" s="6">
        <v>-1.5849056603773599</v>
      </c>
      <c r="E11" s="8">
        <v>3.14159265358979</v>
      </c>
      <c r="F11" s="7"/>
      <c r="G11" s="10">
        <v>5.5481647077400398</v>
      </c>
      <c r="H11" s="10">
        <v>-1.66271090242831</v>
      </c>
      <c r="I11" s="10">
        <v>3.08735333723887</v>
      </c>
      <c r="K11" s="10">
        <v>5.5522742123284301</v>
      </c>
      <c r="L11" s="10">
        <v>-1.31553614089905</v>
      </c>
      <c r="M11" s="10">
        <v>-3.1237642770384402</v>
      </c>
      <c r="N11" s="13"/>
      <c r="O11" s="10">
        <v>5.5629813261202798</v>
      </c>
      <c r="P11" s="10">
        <v>-1.0163008810001199</v>
      </c>
      <c r="Q11" s="10">
        <v>-3.1047484579295301</v>
      </c>
      <c r="R11" s="13"/>
      <c r="S11" s="8">
        <v>3.14159265358979</v>
      </c>
      <c r="T11" s="13"/>
      <c r="U11" s="13">
        <f t="shared" si="0"/>
        <v>0</v>
      </c>
      <c r="V11" s="13">
        <f t="shared" si="1"/>
        <v>-3.1076839105826362</v>
      </c>
      <c r="W11" s="13">
        <f>(M11-S11)*180/PI()+360</f>
        <v>1.0214907319626718</v>
      </c>
      <c r="X11" s="13">
        <f t="shared" si="3"/>
        <v>-357.88898308911251</v>
      </c>
      <c r="Y11" s="13"/>
      <c r="Z11" s="13"/>
      <c r="AB11" t="str">
        <f t="shared" si="4"/>
        <v>4.75471698113208,-1.58490566037736</v>
      </c>
      <c r="AC11" t="str">
        <f t="shared" si="5"/>
        <v>5.54816470774004,-1.66271090242831</v>
      </c>
      <c r="AD11" t="str">
        <f t="shared" si="6"/>
        <v>5.55227421232843,-1.31553614089905</v>
      </c>
      <c r="AE11" t="str">
        <f t="shared" si="7"/>
        <v>5.56298132612028,-1.01630088100012</v>
      </c>
    </row>
    <row r="12" spans="2:31" x14ac:dyDescent="0.2">
      <c r="B12" s="3">
        <v>10</v>
      </c>
      <c r="C12" s="6">
        <v>5.5471698113207601</v>
      </c>
      <c r="D12" s="6">
        <v>-1.5849056603773599</v>
      </c>
      <c r="E12" s="8">
        <v>3.14159265358979</v>
      </c>
      <c r="F12" s="7"/>
      <c r="G12" s="10">
        <v>6.3394521638193799</v>
      </c>
      <c r="H12" s="10">
        <v>-1.70567193041339</v>
      </c>
      <c r="I12" s="10">
        <v>3.14159265358979</v>
      </c>
      <c r="K12" s="10">
        <v>6.3446011048865403</v>
      </c>
      <c r="L12" s="10">
        <v>-1.3014087418723601</v>
      </c>
      <c r="M12" s="10">
        <v>-2.9450060517691301</v>
      </c>
      <c r="N12" s="13"/>
      <c r="O12" s="10">
        <v>6.35489634187328</v>
      </c>
      <c r="P12" s="10">
        <v>-0.98711019928544597</v>
      </c>
      <c r="Q12" s="10">
        <v>-2.8860100611101802</v>
      </c>
      <c r="R12" s="13"/>
      <c r="S12" s="8">
        <v>3.14159265358979</v>
      </c>
      <c r="T12" s="13"/>
      <c r="U12" s="13">
        <f t="shared" si="0"/>
        <v>0</v>
      </c>
      <c r="V12" s="13">
        <f t="shared" si="1"/>
        <v>0</v>
      </c>
      <c r="W12" s="13">
        <f t="shared" ref="W12:W15" si="8">(M12-S12)*180/PI()+360</f>
        <v>11.263582593142985</v>
      </c>
      <c r="X12" s="13">
        <f t="shared" si="3"/>
        <v>-345.356196133906</v>
      </c>
      <c r="Y12" s="13"/>
      <c r="Z12" s="13"/>
      <c r="AB12" t="str">
        <f t="shared" si="4"/>
        <v>5.54716981132076,-1.58490566037736</v>
      </c>
      <c r="AC12" t="str">
        <f t="shared" si="5"/>
        <v>6.33945216381938,-1.70567193041339</v>
      </c>
      <c r="AD12" t="str">
        <f t="shared" si="6"/>
        <v>6.34460110488654,-1.30140874187236</v>
      </c>
      <c r="AE12" t="str">
        <f t="shared" si="7"/>
        <v>6.35489634187328,-0.987110199285446</v>
      </c>
    </row>
    <row r="13" spans="2:31" x14ac:dyDescent="0.2">
      <c r="B13" s="3">
        <v>11</v>
      </c>
      <c r="C13" s="6">
        <v>6.3396226415094397</v>
      </c>
      <c r="D13" s="6">
        <v>-1.5849056603773599</v>
      </c>
      <c r="E13" s="8">
        <v>3.14159265358979</v>
      </c>
      <c r="F13" s="7"/>
      <c r="G13" s="10">
        <v>7.1319049940080603</v>
      </c>
      <c r="H13" s="10">
        <v>-1.70567193041339</v>
      </c>
      <c r="I13" s="10">
        <v>3.14159265358979</v>
      </c>
      <c r="K13" s="10">
        <v>7.1217905047133803</v>
      </c>
      <c r="L13" s="10">
        <v>-1.1466246184266999</v>
      </c>
      <c r="M13" s="10">
        <v>-3.1314043440455399</v>
      </c>
      <c r="N13" s="13"/>
      <c r="O13" s="10">
        <v>7.1216072731635096</v>
      </c>
      <c r="P13" s="10">
        <v>-0.78677089731471594</v>
      </c>
      <c r="Q13" s="10">
        <v>3.1227949025059201</v>
      </c>
      <c r="R13" s="13"/>
      <c r="S13" s="8">
        <v>3.14159265358979</v>
      </c>
      <c r="T13" s="13"/>
      <c r="U13" s="13">
        <f t="shared" si="0"/>
        <v>0</v>
      </c>
      <c r="V13" s="13">
        <f t="shared" si="1"/>
        <v>0</v>
      </c>
      <c r="W13" s="13">
        <f t="shared" si="8"/>
        <v>0.58374713725874017</v>
      </c>
      <c r="X13" s="13">
        <f t="shared" si="3"/>
        <v>-1.0770318014432163</v>
      </c>
      <c r="Y13" s="13"/>
      <c r="Z13" s="13"/>
      <c r="AB13" t="str">
        <f t="shared" si="4"/>
        <v>6.33962264150944,-1.58490566037736</v>
      </c>
      <c r="AC13" t="str">
        <f t="shared" si="5"/>
        <v>7.13190499400806,-1.70567193041339</v>
      </c>
      <c r="AD13" t="str">
        <f t="shared" si="6"/>
        <v>7.12179050471338,-1.1466246184267</v>
      </c>
      <c r="AE13" t="str">
        <f t="shared" si="7"/>
        <v>7.12160727316351,-0.786770897314716</v>
      </c>
    </row>
    <row r="14" spans="2:31" x14ac:dyDescent="0.2">
      <c r="B14" s="3">
        <v>12</v>
      </c>
      <c r="C14" s="6">
        <v>7.1320754716981201</v>
      </c>
      <c r="D14" s="6">
        <v>-1.5849056603773599</v>
      </c>
      <c r="E14" s="8">
        <v>3.14159265358979</v>
      </c>
      <c r="F14" s="7"/>
      <c r="G14" s="10">
        <v>7.9243578241967398</v>
      </c>
      <c r="H14" s="10">
        <v>-1.70567193041339</v>
      </c>
      <c r="I14" s="10">
        <v>3.14159265358979</v>
      </c>
      <c r="K14" s="10">
        <v>7.9142022063016304</v>
      </c>
      <c r="L14" s="10">
        <v>-1.13855100337097</v>
      </c>
      <c r="M14" s="10">
        <v>-3.1206059365658798</v>
      </c>
      <c r="N14" s="13"/>
      <c r="O14" s="10">
        <v>7.91392009871333</v>
      </c>
      <c r="P14" s="10">
        <v>-0.801666351094528</v>
      </c>
      <c r="Q14" s="10">
        <v>-3.1368663058819202</v>
      </c>
      <c r="R14" s="13"/>
      <c r="S14" s="8">
        <v>3.14159265358979</v>
      </c>
      <c r="T14" s="13"/>
      <c r="U14" s="13">
        <f t="shared" si="0"/>
        <v>0</v>
      </c>
      <c r="V14" s="13">
        <f t="shared" si="1"/>
        <v>0</v>
      </c>
      <c r="W14" s="13">
        <f t="shared" si="8"/>
        <v>1.2024503113057108</v>
      </c>
      <c r="X14" s="13">
        <f t="shared" si="3"/>
        <v>-359.72920022382738</v>
      </c>
      <c r="Y14" s="13"/>
      <c r="Z14" s="13"/>
      <c r="AB14" t="str">
        <f t="shared" si="4"/>
        <v>7.13207547169812,-1.58490566037736</v>
      </c>
      <c r="AC14" t="str">
        <f t="shared" si="5"/>
        <v>7.92435782419674,-1.70567193041339</v>
      </c>
      <c r="AD14" t="str">
        <f t="shared" si="6"/>
        <v>7.91420220630163,-1.13855100337097</v>
      </c>
      <c r="AE14" t="str">
        <f t="shared" si="7"/>
        <v>7.91392009871333,-0.801666351094528</v>
      </c>
    </row>
    <row r="15" spans="2:31" x14ac:dyDescent="0.2">
      <c r="B15" s="3">
        <v>13</v>
      </c>
      <c r="C15" s="6">
        <v>7.9245283018867898</v>
      </c>
      <c r="D15" s="6">
        <v>-1.5849056603773599</v>
      </c>
      <c r="E15" s="8">
        <v>3.14159265358979</v>
      </c>
      <c r="F15" s="7"/>
      <c r="G15" s="10">
        <v>8.7168106543854194</v>
      </c>
      <c r="H15" s="10">
        <v>-1.70567193041339</v>
      </c>
      <c r="I15" s="10">
        <v>3.14159265358979</v>
      </c>
      <c r="K15" s="10">
        <v>8.7064805280253292</v>
      </c>
      <c r="L15" s="10">
        <v>-1.12192124087351</v>
      </c>
      <c r="M15" s="10">
        <v>-3.0457836817144202</v>
      </c>
      <c r="N15" s="13"/>
      <c r="O15" s="10">
        <v>8.7063640778691305</v>
      </c>
      <c r="P15" s="10">
        <v>-0.79792095742133196</v>
      </c>
      <c r="Q15" s="10">
        <v>-3.0482136655112702</v>
      </c>
      <c r="R15" s="13"/>
      <c r="S15" s="8">
        <v>3.14159265358979</v>
      </c>
      <c r="T15" s="13"/>
      <c r="U15" s="13">
        <f t="shared" si="0"/>
        <v>0</v>
      </c>
      <c r="V15" s="13">
        <f t="shared" si="1"/>
        <v>0</v>
      </c>
      <c r="W15" s="13">
        <f t="shared" si="8"/>
        <v>5.4894497279466918</v>
      </c>
      <c r="X15" s="13">
        <f t="shared" si="3"/>
        <v>-354.64977808789803</v>
      </c>
      <c r="Y15" s="13"/>
      <c r="Z15" s="13"/>
      <c r="AB15" t="str">
        <f t="shared" si="4"/>
        <v>7.92452830188679,-1.58490566037736</v>
      </c>
      <c r="AC15" t="str">
        <f t="shared" si="5"/>
        <v>8.71681065438542,-1.70567193041339</v>
      </c>
      <c r="AD15" t="str">
        <f t="shared" si="6"/>
        <v>8.70648052802533,-1.12192124087351</v>
      </c>
      <c r="AE15" t="str">
        <f t="shared" si="7"/>
        <v>8.70636407786913,-0.797920957421332</v>
      </c>
    </row>
    <row r="16" spans="2:31" x14ac:dyDescent="0.2">
      <c r="B16" s="3">
        <v>14</v>
      </c>
      <c r="C16" s="6">
        <v>8.7169811320754693</v>
      </c>
      <c r="D16" s="6">
        <v>-1.5849056603773599</v>
      </c>
      <c r="E16" s="8">
        <v>3.14159265358979</v>
      </c>
      <c r="F16" s="7"/>
      <c r="G16" s="10">
        <v>9.5092634845741006</v>
      </c>
      <c r="H16" s="10">
        <v>-1.70567193041339</v>
      </c>
      <c r="I16" s="10">
        <v>3.14159265358979</v>
      </c>
      <c r="K16" s="10">
        <v>9.4952990350077702</v>
      </c>
      <c r="L16" s="10">
        <v>-1.04611325240233</v>
      </c>
      <c r="M16" s="10">
        <v>3.1059384319387102</v>
      </c>
      <c r="N16" s="13"/>
      <c r="O16" s="10">
        <v>9.4953644679389395</v>
      </c>
      <c r="P16" s="10">
        <v>-0.72403000707056497</v>
      </c>
      <c r="Q16" s="10">
        <v>3.07320530185451</v>
      </c>
      <c r="R16" s="13"/>
      <c r="S16" s="8">
        <v>3.14159265358979</v>
      </c>
      <c r="T16" s="13"/>
      <c r="U16" s="13">
        <f t="shared" si="0"/>
        <v>0</v>
      </c>
      <c r="V16" s="13">
        <f t="shared" si="1"/>
        <v>0</v>
      </c>
      <c r="W16" s="13">
        <f t="shared" si="2"/>
        <v>-2.0428364224308333</v>
      </c>
      <c r="X16" s="13">
        <f t="shared" si="3"/>
        <v>-3.91830662650821</v>
      </c>
      <c r="Y16" s="13"/>
      <c r="Z16" s="13"/>
      <c r="AB16" t="str">
        <f t="shared" si="4"/>
        <v>8.71698113207547,-1.58490566037736</v>
      </c>
      <c r="AC16" t="str">
        <f t="shared" si="5"/>
        <v>9.5092634845741,-1.70567193041339</v>
      </c>
      <c r="AD16" t="str">
        <f t="shared" si="6"/>
        <v>9.49529903500777,-1.04611325240233</v>
      </c>
      <c r="AE16" t="str">
        <f t="shared" si="7"/>
        <v>9.49536446793894,-0.724030007070565</v>
      </c>
    </row>
    <row r="17" spans="2:31" x14ac:dyDescent="0.2">
      <c r="B17" s="3">
        <v>15</v>
      </c>
      <c r="C17" s="6">
        <v>9.5094339622641506</v>
      </c>
      <c r="D17" s="6">
        <v>-1.5849056603773599</v>
      </c>
      <c r="E17" s="8">
        <v>3.14159265358979</v>
      </c>
      <c r="F17" s="7"/>
      <c r="G17" s="10">
        <v>10.3017163147628</v>
      </c>
      <c r="H17" s="10">
        <v>-1.70567193041339</v>
      </c>
      <c r="I17" s="10">
        <v>3.1059384319387102</v>
      </c>
      <c r="K17" s="10">
        <v>10.287248226214301</v>
      </c>
      <c r="L17" s="10">
        <v>-1.0743615553856201</v>
      </c>
      <c r="M17" s="10">
        <v>-3.0523878993873201</v>
      </c>
      <c r="N17" s="13"/>
      <c r="O17" s="10">
        <v>10.2859649366918</v>
      </c>
      <c r="P17" s="10">
        <v>-0.77818152488738301</v>
      </c>
      <c r="Q17" s="10">
        <v>-3.0695284152176998</v>
      </c>
      <c r="R17" s="13"/>
      <c r="S17" s="8">
        <v>3.14159265358979</v>
      </c>
      <c r="T17" s="13"/>
      <c r="U17" s="13">
        <f t="shared" si="0"/>
        <v>0</v>
      </c>
      <c r="V17" s="13">
        <f t="shared" si="1"/>
        <v>-2.0428364224308333</v>
      </c>
      <c r="W17" s="13">
        <f>(M17-S17)*180/PI()+360</f>
        <v>5.111055928303756</v>
      </c>
      <c r="X17" s="13">
        <f t="shared" si="3"/>
        <v>-355.87102328745414</v>
      </c>
      <c r="Y17" s="13"/>
      <c r="Z17" s="13"/>
      <c r="AB17" t="str">
        <f t="shared" si="4"/>
        <v>9.50943396226415,-1.58490566037736</v>
      </c>
      <c r="AC17" t="str">
        <f t="shared" si="5"/>
        <v>10.3017163147628,-1.70567193041339</v>
      </c>
      <c r="AD17" t="str">
        <f t="shared" si="6"/>
        <v>10.2872482262143,-1.07436155538562</v>
      </c>
      <c r="AE17" t="str">
        <f t="shared" si="7"/>
        <v>10.2859649366918,-0.778181524887383</v>
      </c>
    </row>
    <row r="18" spans="2:31" x14ac:dyDescent="0.2">
      <c r="B18" s="3">
        <v>16</v>
      </c>
      <c r="C18" s="6">
        <v>10.3018867924528</v>
      </c>
      <c r="D18" s="6">
        <v>-1.5849056603773599</v>
      </c>
      <c r="E18" s="8">
        <v>3.14159265358979</v>
      </c>
      <c r="F18" s="7"/>
      <c r="G18" s="10">
        <v>11.0936655059693</v>
      </c>
      <c r="H18" s="10">
        <v>-1.7339202333966801</v>
      </c>
      <c r="I18" s="10">
        <v>3.14159265358979</v>
      </c>
      <c r="K18" s="10">
        <v>11.076550179644901</v>
      </c>
      <c r="L18" s="10">
        <v>-1.00376471137241</v>
      </c>
      <c r="M18" s="10">
        <v>3.1289014512248099</v>
      </c>
      <c r="N18" s="13"/>
      <c r="O18" s="10">
        <v>11.076360952647301</v>
      </c>
      <c r="P18" s="10">
        <v>-0.72112343137221302</v>
      </c>
      <c r="Q18" s="10">
        <v>3.08989268057005</v>
      </c>
      <c r="R18" s="13"/>
      <c r="S18" s="8">
        <v>3.14159265358979</v>
      </c>
      <c r="T18" s="13"/>
      <c r="U18" s="13">
        <f t="shared" si="0"/>
        <v>0</v>
      </c>
      <c r="V18" s="13">
        <f t="shared" si="1"/>
        <v>0</v>
      </c>
      <c r="W18" s="13">
        <f t="shared" si="2"/>
        <v>-0.72715233245980959</v>
      </c>
      <c r="X18" s="13">
        <f t="shared" si="3"/>
        <v>-2.9621902549713308</v>
      </c>
      <c r="Y18" s="13"/>
      <c r="Z18" s="13"/>
      <c r="AB18" t="str">
        <f t="shared" si="4"/>
        <v>10.3018867924528,-1.58490566037736</v>
      </c>
      <c r="AC18" t="str">
        <f t="shared" si="5"/>
        <v>11.0936655059693,-1.73392023339668</v>
      </c>
      <c r="AD18" t="str">
        <f t="shared" si="6"/>
        <v>11.0765501796449,-1.00376471137241</v>
      </c>
      <c r="AE18" t="str">
        <f t="shared" si="7"/>
        <v>11.0763609526473,-0.721123431372213</v>
      </c>
    </row>
    <row r="19" spans="2:31" x14ac:dyDescent="0.2">
      <c r="B19" s="3">
        <v>17</v>
      </c>
      <c r="C19" s="6">
        <v>11.094339622641501</v>
      </c>
      <c r="D19" s="6">
        <v>-1.5849056603773599</v>
      </c>
      <c r="E19" s="8">
        <v>3.14159265358979</v>
      </c>
      <c r="F19" s="7"/>
      <c r="G19" s="10">
        <v>11.886118336158001</v>
      </c>
      <c r="H19" s="10">
        <v>-1.7339202333966801</v>
      </c>
      <c r="I19" s="10">
        <v>3.1289014512248099</v>
      </c>
      <c r="K19" s="10">
        <v>11.868939191841701</v>
      </c>
      <c r="L19" s="10">
        <v>-1.01382162062791</v>
      </c>
      <c r="M19" s="10">
        <v>3.1281983855268098</v>
      </c>
      <c r="N19" s="13"/>
      <c r="O19" s="10">
        <v>11.8677549501953</v>
      </c>
      <c r="P19" s="10">
        <v>-0.76207497248015899</v>
      </c>
      <c r="Q19" s="10">
        <v>3.0862856762647999</v>
      </c>
      <c r="R19" s="13"/>
      <c r="S19" s="8">
        <v>3.14159265358979</v>
      </c>
      <c r="T19" s="13"/>
      <c r="U19" s="13">
        <f t="shared" si="0"/>
        <v>0</v>
      </c>
      <c r="V19" s="13">
        <f t="shared" si="1"/>
        <v>-0.72715233245980959</v>
      </c>
      <c r="W19" s="13">
        <f t="shared" si="2"/>
        <v>-0.76743502967563171</v>
      </c>
      <c r="X19" s="13">
        <f t="shared" si="3"/>
        <v>-3.168856378347678</v>
      </c>
      <c r="Y19" s="13"/>
      <c r="Z19" s="13"/>
      <c r="AB19" t="str">
        <f t="shared" si="4"/>
        <v>11.0943396226415,-1.58490566037736</v>
      </c>
      <c r="AC19" t="str">
        <f t="shared" si="5"/>
        <v>11.886118336158,-1.73392023339668</v>
      </c>
      <c r="AD19" t="str">
        <f t="shared" si="6"/>
        <v>11.8689391918417,-1.01382162062791</v>
      </c>
      <c r="AE19" t="str">
        <f t="shared" si="7"/>
        <v>11.8677549501953,-0.762074972480159</v>
      </c>
    </row>
    <row r="20" spans="2:31" x14ac:dyDescent="0.2">
      <c r="B20" s="3">
        <v>18</v>
      </c>
      <c r="C20" s="6">
        <v>11.8867924528302</v>
      </c>
      <c r="D20" s="6">
        <v>-1.5849056603773599</v>
      </c>
      <c r="E20" s="8">
        <v>3.14159265358979</v>
      </c>
      <c r="F20" s="7"/>
      <c r="G20" s="10">
        <v>12.678507348354801</v>
      </c>
      <c r="H20" s="10">
        <v>-1.74397714265217</v>
      </c>
      <c r="I20" s="10">
        <v>3.1281983855268098</v>
      </c>
      <c r="K20" s="10">
        <v>12.6613209375317</v>
      </c>
      <c r="L20" s="10">
        <v>-1.02443562888588</v>
      </c>
      <c r="M20" s="10">
        <v>3.1153912459627602</v>
      </c>
      <c r="N20" s="13"/>
      <c r="O20" s="10">
        <v>12.658996087476099</v>
      </c>
      <c r="P20" s="10">
        <v>-0.80588080255522598</v>
      </c>
      <c r="Q20" s="10">
        <v>3.0685731347524401</v>
      </c>
      <c r="R20" s="13"/>
      <c r="S20" s="8">
        <v>3.14159265358979</v>
      </c>
      <c r="T20" s="13"/>
      <c r="U20" s="13">
        <f t="shared" si="0"/>
        <v>0</v>
      </c>
      <c r="V20" s="13">
        <f t="shared" si="1"/>
        <v>-0.76743502967563171</v>
      </c>
      <c r="W20" s="13">
        <f t="shared" si="2"/>
        <v>-1.5012300743306946</v>
      </c>
      <c r="X20" s="13">
        <f t="shared" si="3"/>
        <v>-4.1837102514561622</v>
      </c>
      <c r="Y20" s="13"/>
      <c r="Z20" s="13"/>
      <c r="AB20" t="str">
        <f t="shared" si="4"/>
        <v>11.8867924528302,-1.58490566037736</v>
      </c>
      <c r="AC20" t="str">
        <f t="shared" si="5"/>
        <v>12.6785073483548,-1.74397714265217</v>
      </c>
      <c r="AD20" t="str">
        <f t="shared" si="6"/>
        <v>12.6613209375317,-1.02443562888588</v>
      </c>
      <c r="AE20" t="str">
        <f t="shared" si="7"/>
        <v>12.6589960874761,-0.805880802555226</v>
      </c>
    </row>
    <row r="21" spans="2:31" x14ac:dyDescent="0.2">
      <c r="B21" s="3">
        <v>19</v>
      </c>
      <c r="C21" s="6">
        <v>12.679245283018901</v>
      </c>
      <c r="D21" s="6">
        <v>-1.5849056603773599</v>
      </c>
      <c r="E21" s="8">
        <v>3.14159265358979</v>
      </c>
      <c r="F21" s="7"/>
      <c r="G21" s="10">
        <v>13.4708890940448</v>
      </c>
      <c r="H21" s="10">
        <v>-1.7545911509101499</v>
      </c>
      <c r="I21" s="10">
        <v>3.1153912459627602</v>
      </c>
      <c r="K21" s="10">
        <v>13.453501768395199</v>
      </c>
      <c r="L21" s="10">
        <v>-1.0451966328720901</v>
      </c>
      <c r="M21" s="10">
        <v>-3.0650961373247601</v>
      </c>
      <c r="N21" s="13"/>
      <c r="O21" s="10">
        <v>13.449337236315699</v>
      </c>
      <c r="P21" s="10">
        <v>-0.86369391979493604</v>
      </c>
      <c r="Q21" s="10">
        <v>-3.08107835004098</v>
      </c>
      <c r="R21" s="13"/>
      <c r="S21" s="8">
        <v>3.14159265358979</v>
      </c>
      <c r="T21" s="13"/>
      <c r="U21" s="13">
        <f t="shared" si="0"/>
        <v>0</v>
      </c>
      <c r="V21" s="13">
        <f t="shared" si="1"/>
        <v>-1.5012300743306946</v>
      </c>
      <c r="W21" s="13">
        <f>(M21-S21)*180/PI()+360</f>
        <v>4.3829275294404511</v>
      </c>
      <c r="X21" s="13">
        <f t="shared" si="3"/>
        <v>-356.5327858064793</v>
      </c>
      <c r="Y21" s="13"/>
      <c r="Z21" s="13"/>
      <c r="AB21" t="str">
        <f t="shared" si="4"/>
        <v>12.6792452830189,-1.58490566037736</v>
      </c>
      <c r="AC21" t="str">
        <f t="shared" si="5"/>
        <v>13.4708890940448,-1.75459115091015</v>
      </c>
      <c r="AD21" t="str">
        <f t="shared" si="6"/>
        <v>13.4535017683952,-1.04519663287209</v>
      </c>
      <c r="AE21" t="str">
        <f t="shared" si="7"/>
        <v>13.4493372363157,-0.863693919794936</v>
      </c>
    </row>
    <row r="22" spans="2:31" x14ac:dyDescent="0.2">
      <c r="B22" s="3">
        <v>20</v>
      </c>
      <c r="C22" s="6">
        <v>13.4716981132076</v>
      </c>
      <c r="D22" s="6">
        <v>-1.5849056603773599</v>
      </c>
      <c r="E22" s="8">
        <v>3.14159265358979</v>
      </c>
      <c r="F22" s="7"/>
      <c r="G22" s="10">
        <v>14.263069924908301</v>
      </c>
      <c r="H22" s="10">
        <v>-1.77535215489635</v>
      </c>
      <c r="I22" s="10">
        <v>3.14159265358979</v>
      </c>
      <c r="K22" s="10">
        <v>14.2436371241657</v>
      </c>
      <c r="L22" s="10">
        <v>-0.98463585649370799</v>
      </c>
      <c r="M22" s="10">
        <v>3.0974767295560599</v>
      </c>
      <c r="N22" s="13"/>
      <c r="O22" s="10">
        <v>14.240339535659199</v>
      </c>
      <c r="P22" s="10">
        <v>-0.81576845154077504</v>
      </c>
      <c r="Q22" s="10">
        <v>3.06515110738611</v>
      </c>
      <c r="R22" s="13"/>
      <c r="S22" s="8">
        <v>3.14159265358979</v>
      </c>
      <c r="T22" s="13"/>
      <c r="U22" s="13">
        <f t="shared" si="0"/>
        <v>0</v>
      </c>
      <c r="V22" s="13">
        <f t="shared" si="1"/>
        <v>0</v>
      </c>
      <c r="W22" s="13">
        <f t="shared" si="2"/>
        <v>-2.5276562564524894</v>
      </c>
      <c r="X22" s="13">
        <f t="shared" si="3"/>
        <v>-4.3797779769251468</v>
      </c>
      <c r="Y22" s="13"/>
      <c r="Z22" s="13"/>
      <c r="AB22" t="str">
        <f t="shared" si="4"/>
        <v>13.4716981132076,-1.58490566037736</v>
      </c>
      <c r="AC22" t="str">
        <f t="shared" si="5"/>
        <v>14.2630699249083,-1.77535215489635</v>
      </c>
      <c r="AD22" t="str">
        <f t="shared" si="6"/>
        <v>14.2436371241657,-0.984635856493708</v>
      </c>
      <c r="AE22" t="str">
        <f t="shared" si="7"/>
        <v>14.2403395356592,-0.815768451540775</v>
      </c>
    </row>
    <row r="23" spans="2:31" x14ac:dyDescent="0.2">
      <c r="B23" s="3">
        <v>21</v>
      </c>
      <c r="C23" s="6">
        <v>14.264150943396199</v>
      </c>
      <c r="D23" s="6">
        <v>-1.5849056603773599</v>
      </c>
      <c r="E23" s="8">
        <v>3.14159265358979</v>
      </c>
      <c r="F23" s="7"/>
      <c r="G23" s="10">
        <v>15.0555227550969</v>
      </c>
      <c r="H23" s="10">
        <v>-1.77535215489635</v>
      </c>
      <c r="I23" s="10">
        <v>3.0974767295560599</v>
      </c>
      <c r="K23" s="10">
        <v>15.035318937718801</v>
      </c>
      <c r="L23" s="10">
        <v>-1.01958430657793</v>
      </c>
      <c r="M23" s="10">
        <v>-3.0819594088858699</v>
      </c>
      <c r="N23" s="13"/>
      <c r="O23" s="10">
        <v>15.0304782192655</v>
      </c>
      <c r="P23" s="10">
        <v>-0.876285794038696</v>
      </c>
      <c r="Q23" s="10">
        <v>-3.0910635010153902</v>
      </c>
      <c r="R23" s="13"/>
      <c r="S23" s="8">
        <v>3.14159265358979</v>
      </c>
      <c r="T23" s="13"/>
      <c r="U23" s="13">
        <f t="shared" si="0"/>
        <v>0</v>
      </c>
      <c r="V23" s="13">
        <f t="shared" si="1"/>
        <v>-2.5276562564524894</v>
      </c>
      <c r="W23" s="13">
        <f>(M23-S23)*180/PI()+360</f>
        <v>3.4167332402058719</v>
      </c>
      <c r="X23" s="13">
        <f t="shared" si="3"/>
        <v>-357.104892815114</v>
      </c>
      <c r="Y23" s="13"/>
      <c r="Z23" s="13"/>
      <c r="AB23" t="str">
        <f t="shared" si="4"/>
        <v>14.2641509433962,-1.58490566037736</v>
      </c>
      <c r="AC23" t="str">
        <f t="shared" si="5"/>
        <v>15.0555227550969,-1.77535215489635</v>
      </c>
      <c r="AD23" t="str">
        <f t="shared" si="6"/>
        <v>15.0353189377188,-1.01958430657793</v>
      </c>
      <c r="AE23" t="str">
        <f t="shared" si="7"/>
        <v>15.0304782192655,-0.876285794038696</v>
      </c>
    </row>
    <row r="24" spans="2:31" x14ac:dyDescent="0.2">
      <c r="B24" s="3">
        <v>22</v>
      </c>
      <c r="C24" s="6">
        <v>15.0566037735849</v>
      </c>
      <c r="D24" s="6">
        <v>-1.5849056603773599</v>
      </c>
      <c r="E24" s="8">
        <v>3.14159265358979</v>
      </c>
      <c r="F24" s="7"/>
      <c r="G24" s="10">
        <v>15.847204568650101</v>
      </c>
      <c r="H24" s="10">
        <v>-1.8103006049805701</v>
      </c>
      <c r="I24" s="10">
        <v>3.14159265358979</v>
      </c>
      <c r="K24" s="10">
        <v>15.8263631552009</v>
      </c>
      <c r="L24" s="10">
        <v>-0.97235577640718596</v>
      </c>
      <c r="M24" s="10">
        <v>3.0833598326916301</v>
      </c>
      <c r="N24" s="13"/>
      <c r="O24" s="10">
        <v>15.821919621274599</v>
      </c>
      <c r="P24" s="10">
        <v>-0.83626086106030895</v>
      </c>
      <c r="Q24" s="10">
        <v>3.0455863797138201</v>
      </c>
      <c r="R24" s="13"/>
      <c r="S24" s="8">
        <v>3.14159265358979</v>
      </c>
      <c r="T24" s="13"/>
      <c r="U24" s="13">
        <f t="shared" si="0"/>
        <v>0</v>
      </c>
      <c r="V24" s="13">
        <f t="shared" si="1"/>
        <v>0</v>
      </c>
      <c r="W24" s="13">
        <f t="shared" si="2"/>
        <v>-3.3364948666057854</v>
      </c>
      <c r="X24" s="13">
        <f t="shared" si="3"/>
        <v>-5.5007542998701693</v>
      </c>
      <c r="Y24" s="13"/>
      <c r="Z24" s="13"/>
      <c r="AB24" t="str">
        <f t="shared" si="4"/>
        <v>15.0566037735849,-1.58490566037736</v>
      </c>
      <c r="AC24" t="str">
        <f t="shared" si="5"/>
        <v>15.8472045686501,-1.81030060498057</v>
      </c>
      <c r="AD24" t="str">
        <f t="shared" si="6"/>
        <v>15.8263631552009,-0.972355776407186</v>
      </c>
      <c r="AE24" t="str">
        <f t="shared" si="7"/>
        <v>15.8219196212746,-0.836260861060309</v>
      </c>
    </row>
    <row r="25" spans="2:31" x14ac:dyDescent="0.2">
      <c r="B25" s="3">
        <v>23</v>
      </c>
      <c r="C25" s="6">
        <v>15.849056603773599</v>
      </c>
      <c r="D25" s="6">
        <v>-1.5849056603773599</v>
      </c>
      <c r="E25" s="8">
        <v>3.14159265358979</v>
      </c>
      <c r="F25" s="7"/>
      <c r="G25" s="10">
        <v>16.6396573988387</v>
      </c>
      <c r="H25" s="10">
        <v>-1.8103006049805701</v>
      </c>
      <c r="I25" s="10">
        <v>3.0833598326916301</v>
      </c>
      <c r="K25" s="10">
        <v>16.6174727369268</v>
      </c>
      <c r="L25" s="10">
        <v>-1.0184764634744801</v>
      </c>
      <c r="M25" s="10">
        <v>-3.07689017863003</v>
      </c>
      <c r="N25" s="13"/>
      <c r="O25" s="10">
        <v>16.6107231558357</v>
      </c>
      <c r="P25" s="10">
        <v>-0.91222448352448604</v>
      </c>
      <c r="Q25" s="10">
        <v>-3.0861647236451302</v>
      </c>
      <c r="R25" s="13"/>
      <c r="S25" s="8">
        <v>3.14159265358979</v>
      </c>
      <c r="T25" s="13"/>
      <c r="U25" s="13">
        <f t="shared" si="0"/>
        <v>0</v>
      </c>
      <c r="V25" s="13">
        <f t="shared" si="1"/>
        <v>-3.3364948666057854</v>
      </c>
      <c r="W25" s="13">
        <f>(M25-S25)*180/PI()+360</f>
        <v>3.707178739245478</v>
      </c>
      <c r="X25" s="13">
        <f t="shared" si="3"/>
        <v>-356.82421354702387</v>
      </c>
      <c r="Y25" s="13"/>
      <c r="Z25" s="13"/>
      <c r="AB25" t="str">
        <f t="shared" si="4"/>
        <v>15.8490566037736,-1.58490566037736</v>
      </c>
      <c r="AC25" t="str">
        <f t="shared" si="5"/>
        <v>16.6396573988387,-1.81030060498057</v>
      </c>
      <c r="AD25" t="str">
        <f t="shared" si="6"/>
        <v>16.6174727369268,-1.01847646347448</v>
      </c>
      <c r="AE25" t="str">
        <f t="shared" si="7"/>
        <v>16.6107231558357,-0.912224483524486</v>
      </c>
    </row>
    <row r="26" spans="2:31" x14ac:dyDescent="0.2">
      <c r="B26" s="3">
        <v>24</v>
      </c>
      <c r="C26" s="6">
        <v>16.641509433962302</v>
      </c>
      <c r="D26" s="6">
        <v>-1.5849056603773599</v>
      </c>
      <c r="E26" s="8">
        <v>3.14159265358979</v>
      </c>
      <c r="F26" s="7"/>
      <c r="G26" s="10">
        <v>17.430766980564599</v>
      </c>
      <c r="H26" s="10">
        <v>-1.85642129204786</v>
      </c>
      <c r="I26" s="10">
        <v>3.14159265358979</v>
      </c>
      <c r="K26" s="10">
        <v>17.408267379392701</v>
      </c>
      <c r="L26" s="10">
        <v>-0.96723857201362895</v>
      </c>
      <c r="M26" s="10">
        <v>3.0589870875885001</v>
      </c>
      <c r="N26" s="13"/>
      <c r="O26" s="10">
        <v>17.401958988898901</v>
      </c>
      <c r="P26" s="10">
        <v>-0.86832295108173696</v>
      </c>
      <c r="Q26" s="10">
        <v>3.0367033228000002</v>
      </c>
      <c r="R26" s="13"/>
      <c r="S26" s="8">
        <v>3.14159265358979</v>
      </c>
      <c r="T26" s="13"/>
      <c r="U26" s="13">
        <f t="shared" si="0"/>
        <v>0</v>
      </c>
      <c r="V26" s="13">
        <f t="shared" si="1"/>
        <v>0</v>
      </c>
      <c r="W26" s="13">
        <f t="shared" si="2"/>
        <v>-4.7329502961632741</v>
      </c>
      <c r="X26" s="13">
        <f t="shared" si="3"/>
        <v>-6.0097159702065532</v>
      </c>
      <c r="Y26" s="13"/>
      <c r="Z26" s="13"/>
      <c r="AB26" t="str">
        <f t="shared" si="4"/>
        <v>16.6415094339623,-1.58490566037736</v>
      </c>
      <c r="AC26" t="str">
        <f t="shared" si="5"/>
        <v>17.4307669805646,-1.85642129204786</v>
      </c>
      <c r="AD26" t="str">
        <f t="shared" si="6"/>
        <v>17.4082673793927,-0.967238572013629</v>
      </c>
      <c r="AE26" t="str">
        <f t="shared" si="7"/>
        <v>17.4019589888989,-0.868322951081737</v>
      </c>
    </row>
    <row r="27" spans="2:31" x14ac:dyDescent="0.2">
      <c r="B27" s="3">
        <v>25</v>
      </c>
      <c r="C27" s="6">
        <v>17.4339622641509</v>
      </c>
      <c r="D27" s="6">
        <v>-1.5849056603773599</v>
      </c>
      <c r="E27" s="8">
        <v>3.14159265358979</v>
      </c>
      <c r="F27" s="7"/>
      <c r="G27" s="10">
        <v>18.223219810753299</v>
      </c>
      <c r="H27" s="10">
        <v>-1.85642129204786</v>
      </c>
      <c r="I27" s="10">
        <v>3.0589870875885001</v>
      </c>
      <c r="K27" s="10">
        <v>18.198018024596401</v>
      </c>
      <c r="L27" s="10">
        <v>-1.0326251644792901</v>
      </c>
      <c r="M27" s="10">
        <v>-3.0865679235995098</v>
      </c>
      <c r="N27" s="13"/>
      <c r="O27" s="10">
        <v>18.190056621626599</v>
      </c>
      <c r="P27" s="10">
        <v>-0.95129047100992803</v>
      </c>
      <c r="Q27" s="10">
        <v>-3.08876063187149</v>
      </c>
      <c r="R27" s="13"/>
      <c r="S27" s="8">
        <v>3.14159265358979</v>
      </c>
      <c r="T27" s="13"/>
      <c r="U27" s="13">
        <f t="shared" si="0"/>
        <v>0</v>
      </c>
      <c r="V27" s="13">
        <f t="shared" si="1"/>
        <v>-4.7329502961632741</v>
      </c>
      <c r="W27" s="13">
        <f>(M27-S27)*180/PI()+360</f>
        <v>3.1526847972903056</v>
      </c>
      <c r="X27" s="13">
        <f t="shared" si="3"/>
        <v>-356.97294813239756</v>
      </c>
      <c r="Y27" s="13"/>
      <c r="Z27" s="13"/>
      <c r="AB27" t="str">
        <f t="shared" si="4"/>
        <v>17.4339622641509,-1.58490566037736</v>
      </c>
      <c r="AC27" t="str">
        <f t="shared" si="5"/>
        <v>18.2232198107533,-1.85642129204786</v>
      </c>
      <c r="AD27" t="str">
        <f t="shared" si="6"/>
        <v>18.1980180245964,-1.03262516447929</v>
      </c>
      <c r="AE27" t="str">
        <f t="shared" si="7"/>
        <v>18.1900566216266,-0.951290471009928</v>
      </c>
    </row>
    <row r="28" spans="2:31" x14ac:dyDescent="0.2">
      <c r="B28" s="3">
        <v>26</v>
      </c>
      <c r="C28" s="6">
        <v>18.2264150943396</v>
      </c>
      <c r="D28" s="6">
        <v>-1.5849056603773599</v>
      </c>
      <c r="E28" s="8">
        <v>3.14159265358979</v>
      </c>
      <c r="F28" s="7"/>
      <c r="G28" s="10">
        <v>19.012970455957099</v>
      </c>
      <c r="H28" s="10">
        <v>-1.92180788451353</v>
      </c>
      <c r="I28" s="10">
        <v>3.14159265358979</v>
      </c>
      <c r="K28" s="10">
        <v>18.9892714944394</v>
      </c>
      <c r="L28" s="10">
        <v>-0.98904266184823497</v>
      </c>
      <c r="M28" s="10">
        <v>3.0621783937239999</v>
      </c>
      <c r="N28" s="13"/>
      <c r="O28" s="10">
        <v>18.981403752946498</v>
      </c>
      <c r="P28" s="10">
        <v>-0.90944305978876305</v>
      </c>
      <c r="Q28" s="10">
        <v>3.0469372327408402</v>
      </c>
      <c r="R28" s="13"/>
      <c r="S28" s="8">
        <v>3.14159265358979</v>
      </c>
      <c r="T28" s="13"/>
      <c r="U28" s="13">
        <f t="shared" si="0"/>
        <v>0</v>
      </c>
      <c r="V28" s="13">
        <f t="shared" si="1"/>
        <v>0</v>
      </c>
      <c r="W28" s="13">
        <f t="shared" si="2"/>
        <v>-4.5501019234649318</v>
      </c>
      <c r="X28" s="13">
        <f t="shared" si="3"/>
        <v>-5.4233561226794462</v>
      </c>
      <c r="Y28" s="13"/>
      <c r="Z28" s="13"/>
      <c r="AB28" t="str">
        <f t="shared" si="4"/>
        <v>18.2264150943396,-1.58490566037736</v>
      </c>
      <c r="AC28" t="str">
        <f t="shared" si="5"/>
        <v>19.0129704559571,-1.92180788451353</v>
      </c>
      <c r="AD28" t="str">
        <f t="shared" si="6"/>
        <v>18.9892714944394,-0.989042661848235</v>
      </c>
      <c r="AE28" t="str">
        <f t="shared" si="7"/>
        <v>18.9814037529465,-0.909443059788763</v>
      </c>
    </row>
    <row r="29" spans="2:31" x14ac:dyDescent="0.2">
      <c r="B29" s="3">
        <v>27</v>
      </c>
      <c r="C29" s="6">
        <v>19.018867924528301</v>
      </c>
      <c r="D29" s="6">
        <v>-1.5849056603773599</v>
      </c>
      <c r="E29" s="8">
        <v>3.14159265358979</v>
      </c>
      <c r="F29" s="7"/>
      <c r="G29" s="10">
        <v>19.8054232861457</v>
      </c>
      <c r="H29" s="10">
        <v>-1.92180788451353</v>
      </c>
      <c r="I29" s="10">
        <v>3.0621783937239999</v>
      </c>
      <c r="K29" s="10">
        <v>19.7792267863441</v>
      </c>
      <c r="L29" s="10">
        <v>-1.0519085895499101</v>
      </c>
      <c r="M29" s="10">
        <v>-2.9886858442559201</v>
      </c>
      <c r="N29" s="13"/>
      <c r="O29" s="10">
        <v>19.77030918346</v>
      </c>
      <c r="P29" s="10">
        <v>-0.98434105562528196</v>
      </c>
      <c r="Q29" s="10">
        <v>-2.9904654836899698</v>
      </c>
      <c r="R29" s="13"/>
      <c r="S29" s="8">
        <v>3.14159265358979</v>
      </c>
      <c r="T29" s="13"/>
      <c r="U29" s="13">
        <f t="shared" si="0"/>
        <v>0</v>
      </c>
      <c r="V29" s="13">
        <f t="shared" si="1"/>
        <v>-4.5501019234649318</v>
      </c>
      <c r="W29" s="13">
        <f>(M29-S29)*180/PI()+360</f>
        <v>8.760914833642687</v>
      </c>
      <c r="X29" s="13">
        <f t="shared" si="3"/>
        <v>-351.34105099498339</v>
      </c>
      <c r="Y29" s="13"/>
      <c r="Z29" s="13"/>
      <c r="AB29" t="str">
        <f t="shared" si="4"/>
        <v>19.0188679245283,-1.58490566037736</v>
      </c>
      <c r="AC29" t="str">
        <f t="shared" si="5"/>
        <v>19.8054232861457,-1.92180788451353</v>
      </c>
      <c r="AD29" t="str">
        <f t="shared" si="6"/>
        <v>19.7792267863441,-1.05190858954991</v>
      </c>
      <c r="AE29" t="str">
        <f t="shared" si="7"/>
        <v>19.77030918346,-0.984341055625282</v>
      </c>
    </row>
    <row r="30" spans="2:31" x14ac:dyDescent="0.2">
      <c r="B30" s="3">
        <v>28</v>
      </c>
      <c r="C30" s="6">
        <v>19.811320754716998</v>
      </c>
      <c r="D30" s="6">
        <v>-1.5849056603773599</v>
      </c>
      <c r="E30" s="8">
        <v>3.14159265358979</v>
      </c>
      <c r="F30" s="7"/>
      <c r="G30" s="10">
        <v>20.5953785780505</v>
      </c>
      <c r="H30" s="10">
        <v>-1.9846738122152101</v>
      </c>
      <c r="I30" s="10">
        <v>3.14159265358979</v>
      </c>
      <c r="K30" s="10">
        <v>20.562433683487399</v>
      </c>
      <c r="L30" s="10">
        <v>-0.93120877869159802</v>
      </c>
      <c r="M30" s="10">
        <v>-3.1321326260576399</v>
      </c>
      <c r="N30" s="13"/>
      <c r="O30" s="10">
        <v>20.553729642379501</v>
      </c>
      <c r="P30" s="10">
        <v>-0.86503526104554096</v>
      </c>
      <c r="Q30" s="10">
        <v>3.1391215509342798</v>
      </c>
      <c r="R30" s="13"/>
      <c r="S30" s="8">
        <v>3.14159265358979</v>
      </c>
      <c r="T30" s="13"/>
      <c r="U30" s="13">
        <f t="shared" si="0"/>
        <v>0</v>
      </c>
      <c r="V30" s="13">
        <f t="shared" si="1"/>
        <v>0</v>
      </c>
      <c r="W30" s="13">
        <f>(M30-S30)*180/PI()+360</f>
        <v>0.54201965167015942</v>
      </c>
      <c r="X30" s="13">
        <f t="shared" si="3"/>
        <v>-0.14158375290430489</v>
      </c>
      <c r="Y30" s="13"/>
      <c r="Z30" s="13"/>
      <c r="AB30" t="str">
        <f t="shared" si="4"/>
        <v>19.811320754717,-1.58490566037736</v>
      </c>
      <c r="AC30" t="str">
        <f t="shared" si="5"/>
        <v>20.5953785780505,-1.98467381221521</v>
      </c>
      <c r="AD30" t="str">
        <f t="shared" si="6"/>
        <v>20.5624336834874,-0.931208778691598</v>
      </c>
      <c r="AE30" t="str">
        <f t="shared" si="7"/>
        <v>20.5537296423795,-0.865035261045541</v>
      </c>
    </row>
    <row r="31" spans="2:31" x14ac:dyDescent="0.2">
      <c r="B31" s="3">
        <v>29</v>
      </c>
      <c r="C31" s="6">
        <v>20.603773584905699</v>
      </c>
      <c r="D31" s="6">
        <v>-1.5849056603773599</v>
      </c>
      <c r="E31" s="8">
        <v>3.14159265358979</v>
      </c>
      <c r="F31" s="7"/>
      <c r="G31" s="10">
        <v>21.387831408239101</v>
      </c>
      <c r="H31" s="10">
        <v>-1.9846738122152101</v>
      </c>
      <c r="I31" s="10">
        <v>3.14159265358979</v>
      </c>
      <c r="K31" s="10">
        <v>21.3548510547982</v>
      </c>
      <c r="L31" s="10">
        <v>-0.92371226491440195</v>
      </c>
      <c r="M31" s="10">
        <v>-2.9361477918358299</v>
      </c>
      <c r="N31" s="13"/>
      <c r="O31" s="10">
        <v>21.346180053072999</v>
      </c>
      <c r="P31" s="10">
        <v>-0.86699349134564896</v>
      </c>
      <c r="Q31" s="10">
        <v>-2.9037084698914599</v>
      </c>
      <c r="R31" s="13"/>
      <c r="S31" s="8">
        <v>3.14159265358979</v>
      </c>
      <c r="T31" s="13"/>
      <c r="U31" s="13">
        <f t="shared" si="0"/>
        <v>0</v>
      </c>
      <c r="V31" s="13">
        <f t="shared" si="1"/>
        <v>0</v>
      </c>
      <c r="W31" s="13">
        <f>(M31-S31)*180/PI()+360</f>
        <v>11.771123501150896</v>
      </c>
      <c r="X31" s="13">
        <f t="shared" si="3"/>
        <v>-346.37024026117058</v>
      </c>
      <c r="Y31" s="13"/>
      <c r="Z31" s="13"/>
      <c r="AB31" t="str">
        <f t="shared" si="4"/>
        <v>20.6037735849057,-1.58490566037736</v>
      </c>
      <c r="AC31" t="str">
        <f t="shared" si="5"/>
        <v>21.3878314082391,-1.98467381221521</v>
      </c>
      <c r="AD31" t="str">
        <f t="shared" si="6"/>
        <v>21.3548510547982,-0.923712264914402</v>
      </c>
      <c r="AE31" t="str">
        <f t="shared" si="7"/>
        <v>21.346180053073,-0.866993491345649</v>
      </c>
    </row>
    <row r="32" spans="2:31" x14ac:dyDescent="0.2">
      <c r="B32" s="3">
        <v>30</v>
      </c>
      <c r="C32" s="6">
        <v>21.396226415094301</v>
      </c>
      <c r="D32" s="6">
        <v>-1.5849056603773599</v>
      </c>
      <c r="E32" s="8">
        <v>3.14159265358979</v>
      </c>
      <c r="F32" s="7"/>
      <c r="G32" s="10">
        <v>22.180284238427799</v>
      </c>
      <c r="H32" s="10">
        <v>-1.9846738122152101</v>
      </c>
      <c r="I32" s="10">
        <v>3.14159265358979</v>
      </c>
      <c r="K32" s="10">
        <v>22.130638862209299</v>
      </c>
      <c r="L32" s="10">
        <v>-0.76204975860439805</v>
      </c>
      <c r="M32" s="10">
        <v>3.06471971420833</v>
      </c>
      <c r="N32" s="13"/>
      <c r="O32" s="10">
        <v>22.1163164094162</v>
      </c>
      <c r="P32" s="10">
        <v>-0.68025442014642601</v>
      </c>
      <c r="Q32" s="10">
        <v>3.0384648249664701</v>
      </c>
      <c r="R32" s="13"/>
      <c r="S32" s="8">
        <v>3.14159265358979</v>
      </c>
      <c r="T32" s="13"/>
      <c r="U32" s="13">
        <f t="shared" si="0"/>
        <v>0</v>
      </c>
      <c r="V32" s="13">
        <f t="shared" si="1"/>
        <v>0</v>
      </c>
      <c r="W32" s="13">
        <f t="shared" si="2"/>
        <v>-4.4044949853226756</v>
      </c>
      <c r="X32" s="13">
        <f t="shared" si="3"/>
        <v>-5.9087893304646784</v>
      </c>
      <c r="Y32" s="13"/>
      <c r="Z32" s="13"/>
      <c r="AB32" t="str">
        <f t="shared" si="4"/>
        <v>21.3962264150943,-1.58490566037736</v>
      </c>
      <c r="AC32" t="str">
        <f t="shared" si="5"/>
        <v>22.1802842384278,-1.98467381221521</v>
      </c>
      <c r="AD32" t="str">
        <f t="shared" si="6"/>
        <v>22.1306388622093,-0.762049758604398</v>
      </c>
      <c r="AE32" t="str">
        <f t="shared" si="7"/>
        <v>22.1163164094162,-0.680254420146426</v>
      </c>
    </row>
    <row r="33" spans="2:31" x14ac:dyDescent="0.2">
      <c r="B33" s="3">
        <v>31</v>
      </c>
      <c r="C33" s="6">
        <v>22.188679245283002</v>
      </c>
      <c r="D33" s="6">
        <v>-1.5849056603773599</v>
      </c>
      <c r="E33" s="8">
        <v>3.14159265358979</v>
      </c>
      <c r="F33" s="7"/>
      <c r="G33" s="10">
        <v>22.9727370686165</v>
      </c>
      <c r="H33" s="10">
        <v>-1.9846738122152101</v>
      </c>
      <c r="I33" s="10">
        <v>3.06471971420833</v>
      </c>
      <c r="K33" s="10">
        <v>22.920751365525199</v>
      </c>
      <c r="L33" s="10">
        <v>-0.82290795589822097</v>
      </c>
      <c r="M33" s="10">
        <v>-3.01244815372455</v>
      </c>
      <c r="N33" s="13"/>
      <c r="O33" s="10">
        <v>22.9045589668447</v>
      </c>
      <c r="P33" s="10">
        <v>-0.76183357638559601</v>
      </c>
      <c r="Q33" s="10">
        <v>-2.99325162056354</v>
      </c>
      <c r="R33" s="13"/>
      <c r="S33" s="8">
        <v>3.14159265358979</v>
      </c>
      <c r="T33" s="13"/>
      <c r="U33" s="13">
        <f t="shared" si="0"/>
        <v>0</v>
      </c>
      <c r="V33" s="13">
        <f t="shared" si="1"/>
        <v>-4.4044949853226756</v>
      </c>
      <c r="W33" s="13">
        <f>(M33-S33)*180/PI()+360</f>
        <v>7.3994347896064028</v>
      </c>
      <c r="X33" s="13">
        <f t="shared" si="3"/>
        <v>-351.50068487898477</v>
      </c>
      <c r="Y33" s="13"/>
      <c r="Z33" s="13"/>
      <c r="AB33" t="str">
        <f t="shared" si="4"/>
        <v>22.188679245283,-1.58490566037736</v>
      </c>
      <c r="AC33" t="str">
        <f t="shared" si="5"/>
        <v>22.9727370686165,-1.98467381221521</v>
      </c>
      <c r="AD33" t="str">
        <f t="shared" si="6"/>
        <v>22.9207513655252,-0.822907955898221</v>
      </c>
      <c r="AE33" t="str">
        <f t="shared" si="7"/>
        <v>22.9045589668447,-0.761833576385596</v>
      </c>
    </row>
    <row r="34" spans="2:31" x14ac:dyDescent="0.2">
      <c r="B34" s="3">
        <v>32</v>
      </c>
      <c r="C34" s="6">
        <v>22.981132075471699</v>
      </c>
      <c r="D34" s="6">
        <v>-1.5849056603773599</v>
      </c>
      <c r="E34" s="8">
        <v>3.14159265358979</v>
      </c>
      <c r="F34" s="7"/>
      <c r="G34" s="10">
        <v>23.762849571932399</v>
      </c>
      <c r="H34" s="10">
        <v>-2.0455320095090301</v>
      </c>
      <c r="I34" s="10">
        <v>3.14159265358979</v>
      </c>
      <c r="K34" s="10">
        <v>23.7066049915774</v>
      </c>
      <c r="L34" s="10">
        <v>-0.72085127314449304</v>
      </c>
      <c r="M34" s="10">
        <v>3.1204164117582902</v>
      </c>
      <c r="N34" s="13"/>
      <c r="O34" s="10">
        <v>23.688308786935998</v>
      </c>
      <c r="P34" s="10">
        <v>-0.64471095866886596</v>
      </c>
      <c r="Q34" s="10">
        <v>3.1102750045877299</v>
      </c>
      <c r="R34" s="13"/>
      <c r="S34" s="8">
        <v>3.14159265358979</v>
      </c>
      <c r="T34" s="13"/>
      <c r="U34" s="13">
        <f t="shared" si="0"/>
        <v>0</v>
      </c>
      <c r="V34" s="13">
        <f t="shared" si="1"/>
        <v>0</v>
      </c>
      <c r="W34" s="13">
        <f t="shared" si="2"/>
        <v>-1.213309282893323</v>
      </c>
      <c r="X34" s="13">
        <f t="shared" si="3"/>
        <v>-1.7943691120901399</v>
      </c>
      <c r="Y34" s="13"/>
      <c r="Z34" s="13"/>
      <c r="AB34" t="str">
        <f t="shared" si="4"/>
        <v>22.9811320754717,-1.58490566037736</v>
      </c>
      <c r="AC34" t="str">
        <f t="shared" si="5"/>
        <v>23.7628495719324,-2.04553200950903</v>
      </c>
      <c r="AD34" t="str">
        <f t="shared" si="6"/>
        <v>23.7066049915774,-0.720851273144493</v>
      </c>
      <c r="AE34" t="str">
        <f t="shared" si="7"/>
        <v>23.688308786936,-0.644710958668866</v>
      </c>
    </row>
    <row r="35" spans="2:31" x14ac:dyDescent="0.2">
      <c r="B35" s="3">
        <v>33</v>
      </c>
      <c r="C35" s="6">
        <v>23.7735849056604</v>
      </c>
      <c r="D35" s="6">
        <v>-1.5849056603773599</v>
      </c>
      <c r="E35" s="8">
        <v>3.14159265358979</v>
      </c>
      <c r="F35" s="7"/>
      <c r="G35" s="10">
        <v>24.5553024021211</v>
      </c>
      <c r="H35" s="10">
        <v>-2.0455320095090301</v>
      </c>
      <c r="I35" s="10">
        <v>3.1204164117582902</v>
      </c>
      <c r="K35" s="10">
        <v>24.498880147319401</v>
      </c>
      <c r="L35" s="10">
        <v>-0.73763119173886305</v>
      </c>
      <c r="M35" s="10">
        <v>-2.9277622230678801</v>
      </c>
      <c r="N35" s="13"/>
      <c r="O35" s="10">
        <v>24.480373031944598</v>
      </c>
      <c r="P35" s="10">
        <v>-0.66952466159802004</v>
      </c>
      <c r="Q35" s="10">
        <v>-2.9248150661729202</v>
      </c>
      <c r="R35" s="13"/>
      <c r="S35" s="8">
        <v>3.14159265358979</v>
      </c>
      <c r="T35" s="13"/>
      <c r="U35" s="13">
        <f t="shared" si="0"/>
        <v>0</v>
      </c>
      <c r="V35" s="13">
        <f t="shared" si="1"/>
        <v>-1.213309282893323</v>
      </c>
      <c r="W35" s="13">
        <f>(M35-S35)*180/PI()+360</f>
        <v>12.25158120037122</v>
      </c>
      <c r="X35" s="13">
        <f t="shared" si="3"/>
        <v>-347.5795591479847</v>
      </c>
      <c r="Y35" s="13"/>
      <c r="Z35" s="13"/>
      <c r="AB35" t="str">
        <f t="shared" si="4"/>
        <v>23.7735849056604,-1.58490566037736</v>
      </c>
      <c r="AC35" t="str">
        <f t="shared" si="5"/>
        <v>24.5553024021211,-2.04553200950903</v>
      </c>
      <c r="AD35" t="str">
        <f t="shared" si="6"/>
        <v>24.4988801473194,-0.737631191738863</v>
      </c>
      <c r="AE35" t="str">
        <f t="shared" si="7"/>
        <v>24.4803730319446,-0.66952466159802</v>
      </c>
    </row>
    <row r="36" spans="2:31" x14ac:dyDescent="0.2">
      <c r="B36" s="3">
        <v>34</v>
      </c>
      <c r="C36" s="6">
        <v>24.5660377358491</v>
      </c>
      <c r="D36" s="6">
        <v>-1.5849056603773599</v>
      </c>
      <c r="E36" s="8">
        <v>3.14159265358979</v>
      </c>
      <c r="F36" s="7"/>
      <c r="G36" s="10">
        <v>25.347577557863101</v>
      </c>
      <c r="H36" s="10">
        <v>-2.0623119281034001</v>
      </c>
      <c r="I36" s="10">
        <v>3.14159265358979</v>
      </c>
      <c r="K36" s="10">
        <v>25.273285062882</v>
      </c>
      <c r="L36" s="10">
        <v>-0.56946902350096995</v>
      </c>
      <c r="M36" s="10">
        <v>-3.11238862474264</v>
      </c>
      <c r="N36" s="13"/>
      <c r="O36" s="10">
        <v>25.254278984796098</v>
      </c>
      <c r="P36" s="10">
        <v>-0.49908093418301902</v>
      </c>
      <c r="Q36" s="10">
        <v>-3.1369267226964399</v>
      </c>
      <c r="R36" s="13"/>
      <c r="S36" s="8">
        <v>3.14159265358979</v>
      </c>
      <c r="T36" s="13"/>
      <c r="U36" s="13">
        <f t="shared" si="0"/>
        <v>0</v>
      </c>
      <c r="V36" s="13">
        <f t="shared" si="1"/>
        <v>0</v>
      </c>
      <c r="W36" s="13">
        <f>(M36-S36)*180/PI()+360</f>
        <v>1.6732675977203826</v>
      </c>
      <c r="X36" s="13">
        <f t="shared" si="3"/>
        <v>-359.73266185231097</v>
      </c>
      <c r="Y36" s="13"/>
      <c r="Z36" s="13"/>
      <c r="AB36" t="str">
        <f t="shared" si="4"/>
        <v>24.5660377358491,-1.58490566037736</v>
      </c>
      <c r="AC36" t="str">
        <f t="shared" si="5"/>
        <v>25.3475775578631,-2.0623119281034</v>
      </c>
      <c r="AD36" t="str">
        <f t="shared" si="6"/>
        <v>25.273285062882,-0.56946902350097</v>
      </c>
      <c r="AE36" t="str">
        <f t="shared" si="7"/>
        <v>25.2542789847961,-0.499080934183019</v>
      </c>
    </row>
    <row r="37" spans="2:31" x14ac:dyDescent="0.2">
      <c r="B37" s="3">
        <v>35</v>
      </c>
      <c r="C37" s="6">
        <v>25.358490566037698</v>
      </c>
      <c r="D37" s="6">
        <v>-1.5849056603773599</v>
      </c>
      <c r="E37" s="8">
        <v>3.14159265358979</v>
      </c>
      <c r="F37" s="7"/>
      <c r="G37" s="10">
        <v>26.140030388051802</v>
      </c>
      <c r="H37" s="10">
        <v>-2.0623119281034001</v>
      </c>
      <c r="I37" s="10">
        <v>3.14159265358979</v>
      </c>
      <c r="K37" s="10">
        <v>26.065399985364799</v>
      </c>
      <c r="L37" s="10">
        <v>-0.54632949770378103</v>
      </c>
      <c r="M37" s="10">
        <v>-2.9052582339736102</v>
      </c>
      <c r="N37" s="13"/>
      <c r="O37" s="10">
        <v>26.046723188790299</v>
      </c>
      <c r="P37" s="10">
        <v>-0.495383417457537</v>
      </c>
      <c r="Q37" s="10">
        <v>-2.90135629119581</v>
      </c>
      <c r="R37" s="13"/>
      <c r="S37" s="8">
        <v>3.14159265358979</v>
      </c>
      <c r="T37" s="13"/>
      <c r="U37" s="13">
        <f t="shared" si="0"/>
        <v>0</v>
      </c>
      <c r="V37" s="13">
        <f t="shared" si="1"/>
        <v>0</v>
      </c>
      <c r="W37" s="13">
        <f t="shared" ref="W37:W39" si="9">(M37-S37)*180/PI()+360</f>
        <v>13.54096479768134</v>
      </c>
      <c r="X37" s="13">
        <f t="shared" si="3"/>
        <v>-346.23547034924923</v>
      </c>
      <c r="Y37" s="13"/>
      <c r="Z37" s="13"/>
      <c r="AB37" t="str">
        <f t="shared" si="4"/>
        <v>25.3584905660377,-1.58490566037736</v>
      </c>
      <c r="AC37" t="str">
        <f t="shared" si="5"/>
        <v>26.1400303880518,-2.0623119281034</v>
      </c>
      <c r="AD37" t="str">
        <f t="shared" si="6"/>
        <v>26.0653999853648,-0.546329497703781</v>
      </c>
      <c r="AE37" t="str">
        <f t="shared" si="7"/>
        <v>26.0467231887903,-0.495383417457537</v>
      </c>
    </row>
    <row r="38" spans="2:31" x14ac:dyDescent="0.2">
      <c r="B38" s="3">
        <v>36</v>
      </c>
      <c r="C38" s="6">
        <v>26.150943396226399</v>
      </c>
      <c r="D38" s="6">
        <v>-1.5849056603773599</v>
      </c>
      <c r="E38" s="8">
        <v>3.14159265358979</v>
      </c>
      <c r="F38" s="7"/>
      <c r="G38" s="10">
        <v>26.932483218240499</v>
      </c>
      <c r="H38" s="10">
        <v>-2.0623119281034001</v>
      </c>
      <c r="I38" s="10">
        <v>3.14159265358979</v>
      </c>
      <c r="K38" s="10">
        <v>26.835824818252998</v>
      </c>
      <c r="L38" s="10">
        <v>-0.36078417994219403</v>
      </c>
      <c r="M38" s="10">
        <v>-3.1000453689845902</v>
      </c>
      <c r="N38" s="13"/>
      <c r="O38" s="10">
        <v>26.816418171390801</v>
      </c>
      <c r="P38" s="10">
        <v>-0.30683336618816398</v>
      </c>
      <c r="Q38" s="10">
        <v>-3.1413290927597801</v>
      </c>
      <c r="R38" s="13"/>
      <c r="S38" s="8">
        <v>3.14159265358979</v>
      </c>
      <c r="T38" s="13"/>
      <c r="U38" s="13">
        <f t="shared" si="0"/>
        <v>0</v>
      </c>
      <c r="V38" s="13">
        <f t="shared" si="1"/>
        <v>0</v>
      </c>
      <c r="W38" s="13">
        <f t="shared" si="9"/>
        <v>2.3804840581071858</v>
      </c>
      <c r="X38" s="13">
        <f t="shared" si="3"/>
        <v>-359.9848990767951</v>
      </c>
      <c r="Y38" s="13"/>
      <c r="Z38" s="13"/>
      <c r="AB38" t="str">
        <f t="shared" si="4"/>
        <v>26.1509433962264,-1.58490566037736</v>
      </c>
      <c r="AC38" t="str">
        <f t="shared" si="5"/>
        <v>26.9324832182405,-2.0623119281034</v>
      </c>
      <c r="AD38" t="str">
        <f t="shared" si="6"/>
        <v>26.835824818253,-0.360784179942194</v>
      </c>
      <c r="AE38" t="str">
        <f t="shared" si="7"/>
        <v>26.8164181713908,-0.306833366188164</v>
      </c>
    </row>
    <row r="39" spans="2:31" x14ac:dyDescent="0.2">
      <c r="B39" s="3">
        <v>37</v>
      </c>
      <c r="C39" s="6">
        <v>26.9433962264151</v>
      </c>
      <c r="D39" s="6">
        <v>-1.5849056603773599</v>
      </c>
      <c r="E39" s="8">
        <v>3.14159265358979</v>
      </c>
      <c r="F39" s="7"/>
      <c r="G39" s="10">
        <v>27.7249360484292</v>
      </c>
      <c r="H39" s="10">
        <v>-2.0623119281034001</v>
      </c>
      <c r="I39" s="10">
        <v>3.14159265358979</v>
      </c>
      <c r="K39" s="10">
        <v>27.6275937899536</v>
      </c>
      <c r="L39" s="10">
        <v>-0.32786938803620502</v>
      </c>
      <c r="M39" s="10">
        <v>-2.9108491976142901</v>
      </c>
      <c r="N39" s="13"/>
      <c r="O39" s="10">
        <v>27.6088709740559</v>
      </c>
      <c r="P39" s="10">
        <v>-0.30662450666490698</v>
      </c>
      <c r="Q39" s="10">
        <v>-2.9114247716044299</v>
      </c>
      <c r="R39" s="13"/>
      <c r="S39" s="8">
        <v>3.14159265358979</v>
      </c>
      <c r="T39" s="13"/>
      <c r="U39" s="13">
        <f t="shared" si="0"/>
        <v>0</v>
      </c>
      <c r="V39" s="13">
        <f t="shared" si="1"/>
        <v>0</v>
      </c>
      <c r="W39" s="13">
        <f t="shared" si="9"/>
        <v>13.220626177659199</v>
      </c>
      <c r="X39" s="13">
        <f t="shared" si="3"/>
        <v>-346.81235178277331</v>
      </c>
      <c r="Y39" s="13"/>
      <c r="Z39" s="13"/>
      <c r="AB39" t="str">
        <f t="shared" si="4"/>
        <v>26.9433962264151,-1.58490566037736</v>
      </c>
      <c r="AC39" t="str">
        <f t="shared" si="5"/>
        <v>27.7249360484292,-2.0623119281034</v>
      </c>
      <c r="AD39" t="str">
        <f t="shared" si="6"/>
        <v>27.6275937899536,-0.327869388036205</v>
      </c>
      <c r="AE39" t="str">
        <f t="shared" si="7"/>
        <v>27.6088709740559,-0.306624506664907</v>
      </c>
    </row>
    <row r="40" spans="2:31" x14ac:dyDescent="0.2">
      <c r="B40" s="3">
        <v>38</v>
      </c>
      <c r="C40" s="6">
        <v>27.735849056603801</v>
      </c>
      <c r="D40" s="6">
        <v>-1.5849056603773599</v>
      </c>
      <c r="E40" s="8">
        <v>3.14159265358979</v>
      </c>
      <c r="F40" s="7"/>
      <c r="G40" s="10">
        <v>28.517388878617801</v>
      </c>
      <c r="H40" s="10">
        <v>-2.0623119281034001</v>
      </c>
      <c r="I40" s="10">
        <v>3.14159265358979</v>
      </c>
      <c r="K40" s="10">
        <v>28.3990439532874</v>
      </c>
      <c r="L40" s="10">
        <v>-0.14663436502371299</v>
      </c>
      <c r="M40" s="10">
        <v>3.1302026917130799</v>
      </c>
      <c r="N40" s="13"/>
      <c r="O40" s="10">
        <v>28.3804253237642</v>
      </c>
      <c r="P40" s="10">
        <v>-0.125833540296867</v>
      </c>
      <c r="Q40" s="10">
        <v>3.1048452532940298</v>
      </c>
      <c r="R40" s="13"/>
      <c r="S40" s="8">
        <v>3.14159265358979</v>
      </c>
      <c r="T40" s="13"/>
      <c r="U40" s="13">
        <f t="shared" si="0"/>
        <v>0</v>
      </c>
      <c r="V40" s="13">
        <f t="shared" si="1"/>
        <v>0</v>
      </c>
      <c r="W40" s="13">
        <f t="shared" si="2"/>
        <v>-0.65259674435039827</v>
      </c>
      <c r="X40" s="13">
        <f t="shared" si="3"/>
        <v>-2.1054709450248512</v>
      </c>
      <c r="Y40" s="13"/>
      <c r="Z40" s="13"/>
      <c r="AB40" t="str">
        <f t="shared" si="4"/>
        <v>27.7358490566038,-1.58490566037736</v>
      </c>
      <c r="AC40" t="str">
        <f t="shared" si="5"/>
        <v>28.5173888786178,-2.0623119281034</v>
      </c>
      <c r="AD40" t="str">
        <f t="shared" si="6"/>
        <v>28.3990439532874,-0.146634365023713</v>
      </c>
      <c r="AE40" t="str">
        <f t="shared" si="7"/>
        <v>28.3804253237642,-0.125833540296867</v>
      </c>
    </row>
    <row r="41" spans="2:31" x14ac:dyDescent="0.2">
      <c r="B41" s="3">
        <v>39</v>
      </c>
      <c r="C41" s="6">
        <v>28.528301886792502</v>
      </c>
      <c r="D41" s="6">
        <v>-1.5849056603773599</v>
      </c>
      <c r="E41" s="8">
        <v>3.14159265358979</v>
      </c>
      <c r="F41" s="7"/>
      <c r="G41" s="10">
        <v>29.309841708806498</v>
      </c>
      <c r="H41" s="10">
        <v>-2.0623119281034001</v>
      </c>
      <c r="I41" s="10">
        <v>3.1302026917130799</v>
      </c>
      <c r="K41" s="10">
        <v>29.191445381091</v>
      </c>
      <c r="L41" s="10">
        <v>-0.155660177390745</v>
      </c>
      <c r="M41" s="10">
        <v>-2.9421274819104402</v>
      </c>
      <c r="N41" s="13"/>
      <c r="O41" s="10">
        <v>29.172343161330001</v>
      </c>
      <c r="P41" s="10">
        <v>-0.15494756817230901</v>
      </c>
      <c r="Q41" s="10">
        <v>-2.93974655599729</v>
      </c>
      <c r="R41" s="13"/>
      <c r="S41" s="8">
        <v>3.14159265358979</v>
      </c>
      <c r="T41" s="13"/>
      <c r="U41" s="13">
        <f t="shared" si="0"/>
        <v>0</v>
      </c>
      <c r="V41" s="13">
        <f t="shared" si="1"/>
        <v>-0.65259674435039827</v>
      </c>
      <c r="W41" s="13">
        <f>(M41-S41)*180/PI()+360</f>
        <v>11.42851249707951</v>
      </c>
      <c r="X41" s="13">
        <f t="shared" si="3"/>
        <v>-348.43507049676367</v>
      </c>
      <c r="Y41" s="13"/>
      <c r="Z41" s="13"/>
      <c r="AB41" t="str">
        <f t="shared" si="4"/>
        <v>28.5283018867925,-1.58490566037736</v>
      </c>
      <c r="AC41" t="str">
        <f t="shared" si="5"/>
        <v>29.3098417088065,-2.0623119281034</v>
      </c>
      <c r="AD41" t="str">
        <f t="shared" si="6"/>
        <v>29.191445381091,-0.155660177390745</v>
      </c>
      <c r="AE41" t="str">
        <f t="shared" si="7"/>
        <v>29.17234316133,-0.154947568172309</v>
      </c>
    </row>
    <row r="42" spans="2:31" x14ac:dyDescent="0.2">
      <c r="B42" s="3">
        <v>40</v>
      </c>
      <c r="C42" s="6">
        <v>29.320754716981099</v>
      </c>
      <c r="D42" s="6">
        <v>-1.5849056603773599</v>
      </c>
      <c r="E42" s="8">
        <v>3.14159265358979</v>
      </c>
      <c r="F42" s="7"/>
      <c r="G42" s="10">
        <v>30.102243136610099</v>
      </c>
      <c r="H42" s="10">
        <v>-2.0713377404704301</v>
      </c>
      <c r="I42" s="10">
        <v>3.14159265358979</v>
      </c>
      <c r="K42" s="10">
        <v>29.968186004663401</v>
      </c>
      <c r="L42" s="10">
        <v>1.3604956632129999E-3</v>
      </c>
      <c r="M42" s="10">
        <v>3.10733935933062</v>
      </c>
      <c r="N42" s="13"/>
      <c r="O42" s="10">
        <v>29.948707729070499</v>
      </c>
      <c r="P42" s="10">
        <v>3.92201995299837E-3</v>
      </c>
      <c r="Q42" s="10">
        <v>3.0820198860810799</v>
      </c>
      <c r="R42" s="13"/>
      <c r="S42" s="8">
        <v>3.14159265358979</v>
      </c>
      <c r="T42" s="13"/>
      <c r="U42" s="13">
        <f t="shared" si="0"/>
        <v>0</v>
      </c>
      <c r="V42" s="13">
        <f t="shared" si="1"/>
        <v>0</v>
      </c>
      <c r="W42" s="13">
        <f t="shared" si="2"/>
        <v>-1.9625691954701334</v>
      </c>
      <c r="X42" s="13">
        <f t="shared" si="3"/>
        <v>-3.4132681521631683</v>
      </c>
      <c r="Y42" s="13"/>
      <c r="Z42" s="13"/>
      <c r="AB42" t="str">
        <f t="shared" si="4"/>
        <v>29.3207547169811,-1.58490566037736</v>
      </c>
      <c r="AC42" t="str">
        <f t="shared" si="5"/>
        <v>30.1022431366101,-2.07133774047043</v>
      </c>
      <c r="AD42" t="str">
        <f t="shared" si="6"/>
        <v>29.9681860046634,0.001360495663213</v>
      </c>
      <c r="AE42" t="str">
        <f t="shared" si="7"/>
        <v>29.9487077290705,0.00392201995299837</v>
      </c>
    </row>
    <row r="43" spans="2:31" x14ac:dyDescent="0.2">
      <c r="B43" s="3">
        <v>41</v>
      </c>
      <c r="C43" s="6">
        <v>30.1132075471698</v>
      </c>
      <c r="D43" s="6">
        <v>-1.5849056603773599</v>
      </c>
      <c r="E43" s="8">
        <v>3.14159265358979</v>
      </c>
      <c r="F43" s="7"/>
      <c r="G43" s="10">
        <v>30.8946959667988</v>
      </c>
      <c r="H43" s="10">
        <v>-2.0713377404704301</v>
      </c>
      <c r="I43" s="10">
        <v>3.10733935933062</v>
      </c>
      <c r="K43" s="10">
        <v>30.760173992539801</v>
      </c>
      <c r="L43" s="10">
        <v>-2.57783166480005E-2</v>
      </c>
      <c r="M43" s="10">
        <v>-2.9878842898814701</v>
      </c>
      <c r="N43" s="13"/>
      <c r="O43" s="10">
        <v>30.739754801355101</v>
      </c>
      <c r="P43" s="10">
        <v>-4.3258669995846002E-2</v>
      </c>
      <c r="Q43" s="10">
        <v>-2.9881279245444099</v>
      </c>
      <c r="R43" s="13"/>
      <c r="S43" s="8">
        <v>3.14159265358979</v>
      </c>
      <c r="T43" s="13"/>
      <c r="U43" s="13">
        <f t="shared" si="0"/>
        <v>0</v>
      </c>
      <c r="V43" s="13">
        <f t="shared" si="1"/>
        <v>-1.9625691954701334</v>
      </c>
      <c r="W43" s="13">
        <f>(M43-S43)*180/PI()+360</f>
        <v>8.8068405163488706</v>
      </c>
      <c r="X43" s="13">
        <f t="shared" si="3"/>
        <v>-351.20711872158063</v>
      </c>
      <c r="Y43" s="13"/>
      <c r="Z43" s="13"/>
      <c r="AB43" t="str">
        <f t="shared" si="4"/>
        <v>30.1132075471698,-1.58490566037736</v>
      </c>
      <c r="AC43" t="str">
        <f t="shared" si="5"/>
        <v>30.8946959667988,-2.07133774047043</v>
      </c>
      <c r="AD43" t="str">
        <f t="shared" si="6"/>
        <v>30.7601739925398,-0.0257783166480005</v>
      </c>
      <c r="AE43" t="str">
        <f t="shared" si="7"/>
        <v>30.7397548013551,-0.043258669995846</v>
      </c>
    </row>
    <row r="44" spans="2:31" x14ac:dyDescent="0.2">
      <c r="B44" s="3">
        <v>42</v>
      </c>
      <c r="C44" s="6">
        <v>30.905660377358501</v>
      </c>
      <c r="D44" s="6">
        <v>-1.5849056603773599</v>
      </c>
      <c r="E44" s="8">
        <v>3.14159265358979</v>
      </c>
      <c r="F44" s="7"/>
      <c r="G44" s="10">
        <v>31.6866839546751</v>
      </c>
      <c r="H44" s="10">
        <v>-2.0984765527816398</v>
      </c>
      <c r="I44" s="10">
        <v>3.14159265358979</v>
      </c>
      <c r="K44" s="10">
        <v>31.543283890630999</v>
      </c>
      <c r="L44" s="10">
        <v>9.5549238283416299E-2</v>
      </c>
      <c r="M44" s="10">
        <v>3.0460327663468898</v>
      </c>
      <c r="N44" s="13"/>
      <c r="O44" s="10">
        <v>31.522894235802099</v>
      </c>
      <c r="P44" s="10">
        <v>7.7878088620527697E-2</v>
      </c>
      <c r="Q44" s="10">
        <v>3.0309274090896299</v>
      </c>
      <c r="R44" s="13"/>
      <c r="S44" s="8">
        <v>3.14159265358979</v>
      </c>
      <c r="T44" s="13"/>
      <c r="U44" s="13">
        <f t="shared" si="0"/>
        <v>0</v>
      </c>
      <c r="V44" s="13">
        <f t="shared" si="1"/>
        <v>0</v>
      </c>
      <c r="W44" s="13">
        <f t="shared" si="2"/>
        <v>-5.4751782297642189</v>
      </c>
      <c r="X44" s="13">
        <f t="shared" si="3"/>
        <v>-6.3406514486425207</v>
      </c>
      <c r="Y44" s="13"/>
      <c r="Z44" s="13"/>
      <c r="AB44" t="str">
        <f t="shared" si="4"/>
        <v>30.9056603773585,-1.58490566037736</v>
      </c>
      <c r="AC44" t="str">
        <f t="shared" si="5"/>
        <v>31.6866839546751,-2.09847655278164</v>
      </c>
      <c r="AD44" t="str">
        <f t="shared" si="6"/>
        <v>31.543283890631,0.0955492382834163</v>
      </c>
      <c r="AE44" t="str">
        <f t="shared" si="7"/>
        <v>31.5228942358021,0.0778780886205277</v>
      </c>
    </row>
    <row r="45" spans="2:31" x14ac:dyDescent="0.2">
      <c r="B45" s="3">
        <v>43</v>
      </c>
      <c r="C45" s="6">
        <v>31.698113207547198</v>
      </c>
      <c r="D45" s="6">
        <v>-1.5849056603773599</v>
      </c>
      <c r="E45" s="8">
        <v>3.14159265358979</v>
      </c>
      <c r="F45" s="7"/>
      <c r="G45" s="10">
        <v>32.479136784863798</v>
      </c>
      <c r="H45" s="10">
        <v>-2.0984765527816398</v>
      </c>
      <c r="I45" s="10">
        <v>3.0460327663468898</v>
      </c>
      <c r="K45" s="10">
        <v>32.332121255747801</v>
      </c>
      <c r="L45" s="10">
        <v>1.99377347297835E-2</v>
      </c>
      <c r="M45" s="10">
        <v>3.1133938710885301</v>
      </c>
      <c r="N45" s="13"/>
      <c r="O45" s="10">
        <v>32.310499512061803</v>
      </c>
      <c r="P45" s="10">
        <v>-9.6400059764589398E-3</v>
      </c>
      <c r="Q45" s="10">
        <v>3.1117922655886501</v>
      </c>
      <c r="R45" s="13"/>
      <c r="S45" s="8">
        <v>3.14159265358979</v>
      </c>
      <c r="T45" s="13"/>
      <c r="U45" s="13">
        <f t="shared" si="0"/>
        <v>0</v>
      </c>
      <c r="V45" s="13">
        <f t="shared" si="1"/>
        <v>-5.4751782297642189</v>
      </c>
      <c r="W45" s="13">
        <f t="shared" si="2"/>
        <v>-1.6156712247295544</v>
      </c>
      <c r="X45" s="13">
        <f t="shared" si="3"/>
        <v>-1.7074364603176175</v>
      </c>
      <c r="Y45" s="13"/>
      <c r="Z45" s="13"/>
      <c r="AB45" t="str">
        <f t="shared" si="4"/>
        <v>31.6981132075472,-1.58490566037736</v>
      </c>
      <c r="AC45" t="str">
        <f t="shared" si="5"/>
        <v>32.4791367848638,-2.09847655278164</v>
      </c>
      <c r="AD45" t="str">
        <f t="shared" si="6"/>
        <v>32.3321212557478,0.0199377347297835</v>
      </c>
      <c r="AE45" t="str">
        <f t="shared" si="7"/>
        <v>32.3104995120618,-0.00964000597645894</v>
      </c>
    </row>
    <row r="46" spans="2:31" x14ac:dyDescent="0.2">
      <c r="B46" s="3">
        <v>44</v>
      </c>
      <c r="C46" s="6">
        <v>32.490566037735903</v>
      </c>
      <c r="D46" s="6">
        <v>-1.5849056603773599</v>
      </c>
      <c r="E46" s="8">
        <v>3.14159265358979</v>
      </c>
      <c r="F46" s="7"/>
      <c r="G46" s="10">
        <v>33.267974149980603</v>
      </c>
      <c r="H46" s="10">
        <v>-2.1740880563352798</v>
      </c>
      <c r="I46" s="10">
        <v>3.1133938710885301</v>
      </c>
      <c r="K46" s="10">
        <v>33.124259038926397</v>
      </c>
      <c r="L46" s="10">
        <v>-2.4055088786859198E-3</v>
      </c>
      <c r="M46" s="10">
        <v>3.0610820277910098</v>
      </c>
      <c r="N46" s="13"/>
      <c r="O46" s="10">
        <v>33.102600494221903</v>
      </c>
      <c r="P46" s="10">
        <v>-3.3251912615967397E-2</v>
      </c>
      <c r="Q46" s="10">
        <v>3.0367003833281601</v>
      </c>
      <c r="R46" s="13"/>
      <c r="S46" s="8">
        <v>3.14159265358979</v>
      </c>
      <c r="T46" s="13"/>
      <c r="U46" s="13">
        <f t="shared" si="0"/>
        <v>0</v>
      </c>
      <c r="V46" s="13">
        <f t="shared" si="1"/>
        <v>-1.6156712247295544</v>
      </c>
      <c r="W46" s="13">
        <f t="shared" si="2"/>
        <v>-4.6129190642271887</v>
      </c>
      <c r="X46" s="13">
        <f t="shared" si="3"/>
        <v>-6.0098843895369907</v>
      </c>
      <c r="Y46" s="13"/>
      <c r="Z46" s="13"/>
      <c r="AB46" t="str">
        <f t="shared" si="4"/>
        <v>32.4905660377359,-1.58490566037736</v>
      </c>
      <c r="AC46" t="str">
        <f t="shared" si="5"/>
        <v>33.2679741499806,-2.17408805633528</v>
      </c>
      <c r="AD46" t="str">
        <f t="shared" si="6"/>
        <v>33.1242590389264,-0.00240550887868592</v>
      </c>
      <c r="AE46" t="str">
        <f t="shared" si="7"/>
        <v>33.1026004942219,-0.0332519126159674</v>
      </c>
    </row>
    <row r="47" spans="2:31" x14ac:dyDescent="0.2">
      <c r="B47" s="3">
        <v>45</v>
      </c>
      <c r="C47" s="6">
        <v>33.283018867924497</v>
      </c>
      <c r="D47" s="6">
        <v>-1.5849056603773599</v>
      </c>
      <c r="E47" s="8">
        <v>3.14159265358979</v>
      </c>
      <c r="F47" s="7"/>
      <c r="G47" s="10">
        <v>34.060111933159199</v>
      </c>
      <c r="H47" s="10">
        <v>-2.1964312999437499</v>
      </c>
      <c r="I47" s="10">
        <v>3.0610820277910098</v>
      </c>
      <c r="K47" s="10">
        <v>33.914144932013102</v>
      </c>
      <c r="L47" s="10">
        <v>-6.6137478694489299E-2</v>
      </c>
      <c r="M47" s="10">
        <v>-2.9840030239967801</v>
      </c>
      <c r="N47" s="13"/>
      <c r="O47" s="10">
        <v>33.890697883065499</v>
      </c>
      <c r="P47" s="10">
        <v>-0.116221749134597</v>
      </c>
      <c r="Q47" s="10">
        <v>-2.9746507178719099</v>
      </c>
      <c r="R47" s="13"/>
      <c r="S47" s="8">
        <v>3.14159265358979</v>
      </c>
      <c r="T47" s="13"/>
      <c r="U47" s="13">
        <f t="shared" si="0"/>
        <v>0</v>
      </c>
      <c r="V47" s="13">
        <f t="shared" si="1"/>
        <v>-4.6129190642271887</v>
      </c>
      <c r="W47" s="13">
        <f>(M47-S47)*180/PI()+360</f>
        <v>9.0292206707097193</v>
      </c>
      <c r="X47" s="13">
        <f t="shared" si="3"/>
        <v>-350.43493165962082</v>
      </c>
      <c r="Y47" s="13"/>
      <c r="Z47" s="13"/>
      <c r="AB47" t="str">
        <f t="shared" si="4"/>
        <v>33.2830188679245,-1.58490566037736</v>
      </c>
      <c r="AC47" t="str">
        <f t="shared" si="5"/>
        <v>34.0601119331592,-2.19643129994375</v>
      </c>
      <c r="AD47" t="str">
        <f t="shared" si="6"/>
        <v>33.9141449320131,-0.0661374786944893</v>
      </c>
      <c r="AE47" t="str">
        <f t="shared" si="7"/>
        <v>33.8906978830655,-0.116221749134597</v>
      </c>
    </row>
    <row r="48" spans="2:31" x14ac:dyDescent="0.2">
      <c r="B48" s="3">
        <v>46</v>
      </c>
      <c r="C48" s="6">
        <v>34.075471698113198</v>
      </c>
      <c r="D48" s="6">
        <v>-1.5849056603773599</v>
      </c>
      <c r="E48" s="8">
        <v>3.14159265358979</v>
      </c>
      <c r="F48" s="7"/>
      <c r="G48" s="10">
        <v>34.849997826245897</v>
      </c>
      <c r="H48" s="10">
        <v>-2.2601632697595502</v>
      </c>
      <c r="I48" s="10">
        <v>3.14159265358979</v>
      </c>
      <c r="K48" s="10">
        <v>34.696778028322399</v>
      </c>
      <c r="L48" s="10">
        <v>5.8228612485543903E-2</v>
      </c>
      <c r="M48" s="10">
        <v>3.0555737370718798</v>
      </c>
      <c r="N48" s="13"/>
      <c r="O48" s="10">
        <v>34.672133660074898</v>
      </c>
      <c r="P48" s="10">
        <v>1.5458220806764299E-2</v>
      </c>
      <c r="Q48" s="10">
        <v>3.0498950486127199</v>
      </c>
      <c r="R48" s="13"/>
      <c r="S48" s="8">
        <v>3.14159265358979</v>
      </c>
      <c r="T48" s="13"/>
      <c r="U48" s="13">
        <f t="shared" si="0"/>
        <v>0</v>
      </c>
      <c r="V48" s="13">
        <f t="shared" si="1"/>
        <v>0</v>
      </c>
      <c r="W48" s="13">
        <f t="shared" si="2"/>
        <v>-4.9285208747644154</v>
      </c>
      <c r="X48" s="13">
        <f t="shared" si="3"/>
        <v>-5.253885756643931</v>
      </c>
      <c r="Y48" s="13"/>
      <c r="Z48" s="13"/>
      <c r="AB48" t="str">
        <f t="shared" si="4"/>
        <v>34.0754716981132,-1.58490566037736</v>
      </c>
      <c r="AC48" t="str">
        <f t="shared" si="5"/>
        <v>34.8499978262459,-2.26016326975955</v>
      </c>
      <c r="AD48" t="str">
        <f t="shared" si="6"/>
        <v>34.6967780283224,0.0582286124855439</v>
      </c>
      <c r="AE48" t="str">
        <f t="shared" si="7"/>
        <v>34.6721336600749,0.0154582208067643</v>
      </c>
    </row>
    <row r="49" spans="2:31" x14ac:dyDescent="0.2">
      <c r="B49" s="3">
        <v>47</v>
      </c>
      <c r="C49" s="6">
        <v>34.867924528301899</v>
      </c>
      <c r="D49" s="6">
        <v>-1.5849056603773599</v>
      </c>
      <c r="E49" s="8">
        <v>3.14159265358979</v>
      </c>
      <c r="F49" s="7"/>
      <c r="G49" s="10">
        <v>35.642450656434598</v>
      </c>
      <c r="H49" s="10">
        <v>-2.2601632697595502</v>
      </c>
      <c r="I49" s="10">
        <v>3.0555737370718798</v>
      </c>
      <c r="K49" s="10">
        <v>35.486300885927598</v>
      </c>
      <c r="L49" s="10">
        <v>-9.8532896103820499E-3</v>
      </c>
      <c r="M49" s="10">
        <v>-3.0354805278838999</v>
      </c>
      <c r="N49" s="13"/>
      <c r="O49" s="10">
        <v>35.461257173810303</v>
      </c>
      <c r="P49" s="10">
        <v>-5.7106013799511503E-2</v>
      </c>
      <c r="Q49" s="10">
        <v>-3.0240965443316101</v>
      </c>
      <c r="R49" s="13"/>
      <c r="S49" s="8">
        <v>3.14159265358979</v>
      </c>
      <c r="T49" s="13"/>
      <c r="U49" s="13">
        <f t="shared" si="0"/>
        <v>0</v>
      </c>
      <c r="V49" s="13">
        <f t="shared" si="1"/>
        <v>-4.9285208747644154</v>
      </c>
      <c r="W49" s="13">
        <f>(M49-S49)*180/PI()+360</f>
        <v>6.0797769581095622</v>
      </c>
      <c r="X49" s="13">
        <f t="shared" si="3"/>
        <v>-353.26796883029795</v>
      </c>
      <c r="Y49" s="13"/>
      <c r="Z49" s="13"/>
      <c r="AB49" t="str">
        <f t="shared" si="4"/>
        <v>34.8679245283019,-1.58490566037736</v>
      </c>
      <c r="AC49" t="str">
        <f t="shared" si="5"/>
        <v>35.6424506564346,-2.26016326975955</v>
      </c>
      <c r="AD49" t="str">
        <f t="shared" si="6"/>
        <v>35.4863008859276,-0.00985328961038205</v>
      </c>
      <c r="AE49" t="str">
        <f t="shared" si="7"/>
        <v>35.4612571738103,-0.0571060137995115</v>
      </c>
    </row>
    <row r="50" spans="2:31" x14ac:dyDescent="0.2">
      <c r="B50" s="3">
        <v>48</v>
      </c>
      <c r="C50" s="6">
        <v>35.660377358490599</v>
      </c>
      <c r="D50" s="6">
        <v>-1.5849056603773599</v>
      </c>
      <c r="E50" s="8">
        <v>3.14159265358979</v>
      </c>
      <c r="F50" s="7"/>
      <c r="G50" s="10">
        <v>36.431973514039797</v>
      </c>
      <c r="H50" s="10">
        <v>-2.32824517185548</v>
      </c>
      <c r="I50" s="10">
        <v>3.14159265358979</v>
      </c>
      <c r="K50" s="10">
        <v>36.2742964772265</v>
      </c>
      <c r="L50" s="10">
        <v>7.4077849828696501E-2</v>
      </c>
      <c r="M50" s="10">
        <v>3.0722418394273099</v>
      </c>
      <c r="N50" s="13"/>
      <c r="O50" s="10">
        <v>36.2482462554105</v>
      </c>
      <c r="P50" s="10">
        <v>3.5790022262678502E-2</v>
      </c>
      <c r="Q50" s="10">
        <v>3.0653343618061601</v>
      </c>
      <c r="R50" s="13"/>
      <c r="S50" s="8">
        <v>3.14159265358979</v>
      </c>
      <c r="T50" s="13"/>
      <c r="U50" s="13">
        <f t="shared" si="0"/>
        <v>0</v>
      </c>
      <c r="V50" s="13">
        <f t="shared" si="1"/>
        <v>0</v>
      </c>
      <c r="W50" s="13">
        <f t="shared" si="2"/>
        <v>-3.9735089573062079</v>
      </c>
      <c r="X50" s="13">
        <f t="shared" si="3"/>
        <v>-4.3692782720791534</v>
      </c>
      <c r="Y50" s="13"/>
      <c r="Z50" s="13"/>
      <c r="AB50" t="str">
        <f t="shared" si="4"/>
        <v>35.6603773584906,-1.58490566037736</v>
      </c>
      <c r="AC50" t="str">
        <f t="shared" si="5"/>
        <v>36.4319735140398,-2.32824517185548</v>
      </c>
      <c r="AD50" t="str">
        <f t="shared" si="6"/>
        <v>36.2742964772265,0.0740778498286965</v>
      </c>
      <c r="AE50" t="str">
        <f t="shared" si="7"/>
        <v>36.2482462554105,0.0357900222626785</v>
      </c>
    </row>
    <row r="51" spans="2:31" x14ac:dyDescent="0.2">
      <c r="B51" s="3">
        <v>49</v>
      </c>
      <c r="C51" s="6">
        <v>36.4528301886793</v>
      </c>
      <c r="D51" s="6">
        <v>-1.5849056603773599</v>
      </c>
      <c r="E51" s="8">
        <v>3.14159265358979</v>
      </c>
      <c r="F51" s="7"/>
      <c r="G51" s="10">
        <v>37.224426344228497</v>
      </c>
      <c r="H51" s="10">
        <v>-2.32824517185548</v>
      </c>
      <c r="I51" s="10">
        <v>3.0722418394273099</v>
      </c>
      <c r="K51" s="10">
        <v>37.0648444060933</v>
      </c>
      <c r="L51" s="10">
        <v>1.9164643416489401E-2</v>
      </c>
      <c r="M51" s="10">
        <v>-3.0855295253364399</v>
      </c>
      <c r="N51" s="13"/>
      <c r="O51" s="10">
        <v>37.038396015819899</v>
      </c>
      <c r="P51" s="10">
        <v>-2.45825228136816E-2</v>
      </c>
      <c r="Q51" s="10">
        <v>-3.0569119400614899</v>
      </c>
      <c r="R51" s="13"/>
      <c r="S51" s="8">
        <v>3.14159265358979</v>
      </c>
      <c r="T51" s="13"/>
      <c r="U51" s="13">
        <f t="shared" si="0"/>
        <v>0</v>
      </c>
      <c r="V51" s="13">
        <f t="shared" si="1"/>
        <v>-3.9735089573062079</v>
      </c>
      <c r="W51" s="13">
        <f>(M51-S51)*180/PI()+360</f>
        <v>3.212180635217976</v>
      </c>
      <c r="X51" s="13">
        <f t="shared" si="3"/>
        <v>-355.14815250867167</v>
      </c>
      <c r="Y51" s="13"/>
      <c r="Z51" s="13"/>
      <c r="AB51" t="str">
        <f t="shared" si="4"/>
        <v>36.4528301886793,-1.58490566037736</v>
      </c>
      <c r="AC51" t="str">
        <f t="shared" si="5"/>
        <v>37.2244263442285,-2.32824517185548</v>
      </c>
      <c r="AD51" t="str">
        <f t="shared" si="6"/>
        <v>37.0648444060933,0.0191646434164894</v>
      </c>
      <c r="AE51" t="str">
        <f t="shared" si="7"/>
        <v>37.0383960158199,-0.0245825228136816</v>
      </c>
    </row>
    <row r="52" spans="2:31" x14ac:dyDescent="0.2">
      <c r="B52" s="3">
        <v>50</v>
      </c>
      <c r="C52" s="6">
        <v>37.245283018867902</v>
      </c>
      <c r="D52" s="6">
        <v>-1.5849056603773599</v>
      </c>
      <c r="E52" s="8">
        <v>3.14159265358979</v>
      </c>
      <c r="F52" s="7"/>
      <c r="G52" s="10">
        <v>38.014974273095298</v>
      </c>
      <c r="H52" s="10">
        <v>-2.3831583782676802</v>
      </c>
      <c r="I52" s="10">
        <v>3.14159265358979</v>
      </c>
      <c r="K52" s="10">
        <v>37.856052193356497</v>
      </c>
      <c r="L52" s="10">
        <v>6.3568758631748795E-2</v>
      </c>
      <c r="M52" s="10">
        <v>3.0369629998223799</v>
      </c>
      <c r="N52" s="13"/>
      <c r="O52" s="10">
        <v>37.828009273869199</v>
      </c>
      <c r="P52" s="10">
        <v>4.24427767890816E-2</v>
      </c>
      <c r="Q52" s="10">
        <v>3.0391176233108701</v>
      </c>
      <c r="R52" s="13"/>
      <c r="S52" s="8">
        <v>3.14159265358979</v>
      </c>
      <c r="T52" s="13"/>
      <c r="U52" s="13">
        <f t="shared" si="0"/>
        <v>0</v>
      </c>
      <c r="V52" s="13">
        <f t="shared" si="1"/>
        <v>0</v>
      </c>
      <c r="W52" s="13">
        <f t="shared" si="2"/>
        <v>-5.9948375727876702</v>
      </c>
      <c r="X52" s="13">
        <f t="shared" si="3"/>
        <v>-5.8713867404574298</v>
      </c>
      <c r="Y52" s="13"/>
      <c r="Z52" s="13"/>
      <c r="AB52" t="str">
        <f t="shared" si="4"/>
        <v>37.2452830188679,-1.58490566037736</v>
      </c>
      <c r="AC52" t="str">
        <f t="shared" si="5"/>
        <v>38.0149742730953,-2.38315837826768</v>
      </c>
      <c r="AD52" t="str">
        <f t="shared" si="6"/>
        <v>37.8560521933565,0.0635687586317488</v>
      </c>
      <c r="AE52" t="str">
        <f t="shared" si="7"/>
        <v>37.8280092738692,0.0424427767890816</v>
      </c>
    </row>
    <row r="53" spans="2:31" x14ac:dyDescent="0.2">
      <c r="B53" s="3">
        <v>51</v>
      </c>
      <c r="C53" s="6">
        <v>38.037735849056602</v>
      </c>
      <c r="D53" s="6">
        <v>-1.5849056603773599</v>
      </c>
      <c r="E53" s="8">
        <v>3.14159265358979</v>
      </c>
      <c r="F53" s="7"/>
      <c r="G53" s="10">
        <v>38.807427103283899</v>
      </c>
      <c r="H53" s="10">
        <v>-2.3831583782676802</v>
      </c>
      <c r="I53" s="10">
        <v>3.0369629998223799</v>
      </c>
      <c r="K53" s="10">
        <v>38.644171344270902</v>
      </c>
      <c r="L53" s="10">
        <v>-1.9194107654788899E-2</v>
      </c>
      <c r="M53" s="10">
        <v>2.9821413837573298</v>
      </c>
      <c r="N53" s="13"/>
      <c r="O53" s="10">
        <v>38.616304918078903</v>
      </c>
      <c r="P53" s="10">
        <v>-3.8621798667851599E-2</v>
      </c>
      <c r="Q53" s="10">
        <v>2.9975660063918901</v>
      </c>
      <c r="R53" s="13"/>
      <c r="S53" s="8">
        <v>3.14159265358979</v>
      </c>
      <c r="T53" s="13"/>
      <c r="U53" s="13">
        <f t="shared" si="0"/>
        <v>0</v>
      </c>
      <c r="V53" s="13">
        <f t="shared" si="1"/>
        <v>-5.9948375727876702</v>
      </c>
      <c r="W53" s="13">
        <f t="shared" si="2"/>
        <v>-9.1358847994016319</v>
      </c>
      <c r="X53" s="13">
        <f t="shared" si="3"/>
        <v>-8.2521190218593699</v>
      </c>
      <c r="Y53" s="13"/>
      <c r="Z53" s="13"/>
      <c r="AB53" t="str">
        <f t="shared" si="4"/>
        <v>38.0377358490566,-1.58490566037736</v>
      </c>
      <c r="AC53" t="str">
        <f t="shared" si="5"/>
        <v>38.8074271032839,-2.38315837826768</v>
      </c>
      <c r="AD53" t="str">
        <f t="shared" si="6"/>
        <v>38.6441713442709,-0.0191941076547889</v>
      </c>
      <c r="AE53" t="str">
        <f t="shared" si="7"/>
        <v>38.6163049180789,-0.0386217986678516</v>
      </c>
    </row>
    <row r="54" spans="2:31" x14ac:dyDescent="0.2">
      <c r="B54" s="3">
        <v>52</v>
      </c>
      <c r="C54" s="6">
        <v>38.830188679245303</v>
      </c>
      <c r="D54" s="6">
        <v>-1.5849056603773599</v>
      </c>
      <c r="E54" s="8">
        <v>3.14159265358979</v>
      </c>
      <c r="F54" s="7"/>
      <c r="G54" s="10">
        <v>39.595546254198403</v>
      </c>
      <c r="H54" s="10">
        <v>-2.4659212445542198</v>
      </c>
      <c r="I54" s="10">
        <v>2.9821413837573298</v>
      </c>
      <c r="K54" s="10">
        <v>39.426571559607098</v>
      </c>
      <c r="L54" s="10">
        <v>-0.14501696375007</v>
      </c>
      <c r="M54" s="10">
        <v>-3.08420774503342</v>
      </c>
      <c r="N54" s="13"/>
      <c r="O54" s="10">
        <v>39.400552754445798</v>
      </c>
      <c r="P54" s="10">
        <v>-0.152361937703858</v>
      </c>
      <c r="Q54" s="10">
        <v>-3.0542789746835002</v>
      </c>
      <c r="R54" s="13"/>
      <c r="S54" s="8">
        <v>3.14159265358979</v>
      </c>
      <c r="T54" s="13"/>
      <c r="U54" s="13">
        <f t="shared" si="0"/>
        <v>0</v>
      </c>
      <c r="V54" s="13">
        <f t="shared" si="1"/>
        <v>-9.1358847994016319</v>
      </c>
      <c r="W54" s="13">
        <f>(M54-S54)*180/PI()+360</f>
        <v>3.2879130680244657</v>
      </c>
      <c r="X54" s="13">
        <f t="shared" si="3"/>
        <v>-354.99729470490877</v>
      </c>
      <c r="Y54" s="13"/>
      <c r="Z54" s="13"/>
      <c r="AB54" t="str">
        <f t="shared" si="4"/>
        <v>38.8301886792453,-1.58490566037736</v>
      </c>
      <c r="AC54" t="str">
        <f t="shared" si="5"/>
        <v>39.5955462541984,-2.46592124455422</v>
      </c>
      <c r="AD54" t="str">
        <f t="shared" si="6"/>
        <v>39.4265715596071,-0.14501696375007</v>
      </c>
      <c r="AE54" t="str">
        <f t="shared" si="7"/>
        <v>39.4005527544458,-0.152361937703858</v>
      </c>
    </row>
    <row r="55" spans="2:31" x14ac:dyDescent="0.2">
      <c r="B55" s="3">
        <v>53</v>
      </c>
      <c r="C55" s="6">
        <v>39.622641509433997</v>
      </c>
      <c r="D55" s="6">
        <v>-1.5849056603773599</v>
      </c>
      <c r="E55" s="8">
        <v>3.14159265358979</v>
      </c>
      <c r="F55" s="7"/>
      <c r="G55" s="10">
        <v>40.3779464695345</v>
      </c>
      <c r="H55" s="10">
        <v>-2.5917441006495001</v>
      </c>
      <c r="I55" s="10">
        <v>3.14159265358979</v>
      </c>
      <c r="K55" s="10">
        <v>40.217719963241798</v>
      </c>
      <c r="L55" s="10">
        <v>-9.9567084759808203E-2</v>
      </c>
      <c r="M55" s="10">
        <v>3.03677560871296</v>
      </c>
      <c r="N55" s="13"/>
      <c r="O55" s="10">
        <v>40.189986800407702</v>
      </c>
      <c r="P55" s="10">
        <v>-8.3257848459328404E-2</v>
      </c>
      <c r="Q55" s="10">
        <v>3.0562135979524898</v>
      </c>
      <c r="R55" s="13"/>
      <c r="S55" s="8">
        <v>3.14159265358979</v>
      </c>
      <c r="T55" s="13"/>
      <c r="U55" s="13">
        <f t="shared" si="0"/>
        <v>0</v>
      </c>
      <c r="V55" s="13">
        <f t="shared" si="1"/>
        <v>0</v>
      </c>
      <c r="W55" s="13">
        <f t="shared" si="2"/>
        <v>-6.0055742924757052</v>
      </c>
      <c r="X55" s="13">
        <f t="shared" si="3"/>
        <v>-4.8918595468299406</v>
      </c>
      <c r="Y55" s="13"/>
      <c r="Z55" s="13"/>
      <c r="AB55" t="str">
        <f t="shared" si="4"/>
        <v>39.622641509434,-1.58490566037736</v>
      </c>
      <c r="AC55" t="str">
        <f t="shared" si="5"/>
        <v>40.3779464695345,-2.5917441006495</v>
      </c>
      <c r="AD55" t="str">
        <f t="shared" si="6"/>
        <v>40.2177199632418,-0.0995670847598082</v>
      </c>
      <c r="AE55" t="str">
        <f t="shared" si="7"/>
        <v>40.1899868004077,-0.0832578484593284</v>
      </c>
    </row>
    <row r="56" spans="2:31" x14ac:dyDescent="0.2">
      <c r="B56" s="3">
        <v>54</v>
      </c>
      <c r="C56" s="6">
        <v>40.415094339622698</v>
      </c>
      <c r="D56" s="6">
        <v>-1.5849056603773599</v>
      </c>
      <c r="E56" s="8">
        <v>3.14159265358979</v>
      </c>
      <c r="F56" s="7"/>
      <c r="G56" s="10">
        <v>41.170399299723201</v>
      </c>
      <c r="H56" s="10">
        <v>-2.5917441006495001</v>
      </c>
      <c r="I56" s="10">
        <v>3.03677560871296</v>
      </c>
      <c r="K56" s="10">
        <v>41.005823591293499</v>
      </c>
      <c r="L56" s="10">
        <v>-0.18247763611439899</v>
      </c>
      <c r="M56" s="10">
        <v>-2.7300592675447</v>
      </c>
      <c r="N56" s="13"/>
      <c r="O56" s="10">
        <v>40.9795530593317</v>
      </c>
      <c r="P56" s="10">
        <v>-0.15083455186168199</v>
      </c>
      <c r="Q56" s="10">
        <v>-2.7338380412527501</v>
      </c>
      <c r="R56" s="13"/>
      <c r="S56" s="8">
        <v>3.14159265358979</v>
      </c>
      <c r="T56" s="13"/>
      <c r="U56" s="13">
        <f t="shared" si="0"/>
        <v>0</v>
      </c>
      <c r="V56" s="13">
        <f t="shared" si="1"/>
        <v>-6.0055742924757052</v>
      </c>
      <c r="W56" s="13">
        <f>(M56-S56)*180/PI()+360</f>
        <v>23.579126149112085</v>
      </c>
      <c r="X56" s="13">
        <f t="shared" si="3"/>
        <v>-336.63738163609423</v>
      </c>
      <c r="Y56" s="13"/>
      <c r="Z56" s="13"/>
      <c r="AB56" t="str">
        <f t="shared" si="4"/>
        <v>40.4150943396227,-1.58490566037736</v>
      </c>
      <c r="AC56" t="str">
        <f t="shared" si="5"/>
        <v>41.1703992997232,-2.5917441006495</v>
      </c>
      <c r="AD56" t="str">
        <f t="shared" si="6"/>
        <v>41.0058235912935,-0.182477636114399</v>
      </c>
      <c r="AE56" t="str">
        <f t="shared" si="7"/>
        <v>40.9795530593317,-0.150834551861682</v>
      </c>
    </row>
    <row r="57" spans="2:31" x14ac:dyDescent="0.2">
      <c r="B57" s="3">
        <v>55</v>
      </c>
      <c r="C57" s="6">
        <v>40.415094339622698</v>
      </c>
      <c r="D57" s="6">
        <v>-1.5849056603773599</v>
      </c>
      <c r="E57" s="8">
        <v>-1.5707963267949001</v>
      </c>
      <c r="F57" s="7"/>
      <c r="G57" s="10">
        <v>41.170399299723201</v>
      </c>
      <c r="H57" s="10">
        <v>-2.5917441006495001</v>
      </c>
      <c r="I57" s="10">
        <v>-1.7176029934727901</v>
      </c>
      <c r="K57" s="10">
        <v>41.005823591293499</v>
      </c>
      <c r="L57" s="10">
        <v>-0.18247763611439899</v>
      </c>
      <c r="M57" s="10">
        <v>-1.7176029934727901</v>
      </c>
      <c r="N57" s="13"/>
      <c r="O57" s="10">
        <v>40.9795530593317</v>
      </c>
      <c r="P57" s="10">
        <v>-0.15083455186168199</v>
      </c>
      <c r="Q57" s="10">
        <v>-1.76675699667622</v>
      </c>
      <c r="R57" s="13"/>
      <c r="S57" s="8">
        <v>-1.5707963267949001</v>
      </c>
      <c r="T57" s="13"/>
      <c r="U57" s="13">
        <f t="shared" si="0"/>
        <v>0</v>
      </c>
      <c r="V57" s="13">
        <f t="shared" si="1"/>
        <v>-8.4114024050269549</v>
      </c>
      <c r="W57" s="13">
        <f t="shared" si="2"/>
        <v>-8.4114024050269549</v>
      </c>
      <c r="X57" s="13">
        <f t="shared" si="3"/>
        <v>-11.227719334756017</v>
      </c>
      <c r="Y57" s="13"/>
      <c r="Z57" s="13"/>
      <c r="AB57" t="str">
        <f t="shared" si="4"/>
        <v>40.4150943396227,-1.58490566037736</v>
      </c>
      <c r="AC57" t="str">
        <f t="shared" si="5"/>
        <v>41.1703992997232,-2.5917441006495</v>
      </c>
      <c r="AD57" t="str">
        <f t="shared" si="6"/>
        <v>41.0058235912935,-0.182477636114399</v>
      </c>
      <c r="AE57" t="str">
        <f t="shared" si="7"/>
        <v>40.9795530593317,-0.150834551861682</v>
      </c>
    </row>
    <row r="58" spans="2:31" x14ac:dyDescent="0.2">
      <c r="B58" s="3">
        <v>56</v>
      </c>
      <c r="C58" s="6">
        <v>40.415094339622698</v>
      </c>
      <c r="D58" s="6">
        <v>-0.61567489114658902</v>
      </c>
      <c r="E58" s="8">
        <v>-1.5707963267949001</v>
      </c>
      <c r="F58" s="7"/>
      <c r="G58" s="10">
        <v>41.312178279985801</v>
      </c>
      <c r="H58" s="10">
        <v>-1.6329391127716899</v>
      </c>
      <c r="I58" s="10">
        <v>-1.5224703453469099</v>
      </c>
      <c r="K58" s="10">
        <v>41.147602571556099</v>
      </c>
      <c r="L58" s="10">
        <v>0.77632735176341205</v>
      </c>
      <c r="M58" s="10">
        <v>-1.5224703453469099</v>
      </c>
      <c r="N58" s="13"/>
      <c r="O58" s="10">
        <v>41.168270924351198</v>
      </c>
      <c r="P58" s="10">
        <v>0.79984617869203301</v>
      </c>
      <c r="Q58" s="10">
        <v>-1.53198326997893</v>
      </c>
      <c r="R58" s="13"/>
      <c r="S58" s="8">
        <v>-1.5707963267949001</v>
      </c>
      <c r="T58" s="13"/>
      <c r="U58" s="13">
        <f t="shared" si="0"/>
        <v>0</v>
      </c>
      <c r="V58" s="13">
        <f t="shared" si="1"/>
        <v>2.7688747777973512</v>
      </c>
      <c r="W58" s="13">
        <f t="shared" si="2"/>
        <v>2.7688747777973512</v>
      </c>
      <c r="X58" s="13">
        <f t="shared" si="3"/>
        <v>2.2238243455565621</v>
      </c>
      <c r="Y58" s="13"/>
      <c r="Z58" s="13"/>
      <c r="AB58" t="str">
        <f t="shared" si="4"/>
        <v>40.4150943396227,-0.615674891146589</v>
      </c>
      <c r="AC58" t="str">
        <f t="shared" si="5"/>
        <v>41.3121782799858,-1.63293911277169</v>
      </c>
      <c r="AD58" t="str">
        <f t="shared" si="6"/>
        <v>41.1476025715561,0.776327351763412</v>
      </c>
      <c r="AE58" t="str">
        <f t="shared" si="7"/>
        <v>41.1682709243512,0.799846178692033</v>
      </c>
    </row>
    <row r="59" spans="2:31" x14ac:dyDescent="0.2">
      <c r="B59" s="3">
        <v>57</v>
      </c>
      <c r="C59" s="6">
        <v>40.415094339622698</v>
      </c>
      <c r="D59" s="6">
        <v>0.35355587808417999</v>
      </c>
      <c r="E59" s="8">
        <v>-1.5707963267949001</v>
      </c>
      <c r="F59" s="7"/>
      <c r="G59" s="10">
        <v>41.265357480999199</v>
      </c>
      <c r="H59" s="10">
        <v>-0.66483989429977797</v>
      </c>
      <c r="I59" s="10">
        <v>-1.7157804453479399</v>
      </c>
      <c r="K59" s="10">
        <v>41.100781772569498</v>
      </c>
      <c r="L59" s="10">
        <v>1.7444265702353201</v>
      </c>
      <c r="M59" s="10">
        <v>-1.7157804453479399</v>
      </c>
      <c r="N59" s="13"/>
      <c r="O59" s="10">
        <v>41.130661559889496</v>
      </c>
      <c r="P59" s="10">
        <v>1.7683469890832599</v>
      </c>
      <c r="Q59" s="10">
        <v>-1.74209819391445</v>
      </c>
      <c r="R59" s="13"/>
      <c r="S59" s="8">
        <v>-1.5707963267949001</v>
      </c>
      <c r="T59" s="13"/>
      <c r="U59" s="13">
        <f t="shared" si="0"/>
        <v>0</v>
      </c>
      <c r="V59" s="13">
        <f t="shared" si="1"/>
        <v>-8.3069780895135583</v>
      </c>
      <c r="W59" s="13">
        <f t="shared" si="2"/>
        <v>-8.3069780895135583</v>
      </c>
      <c r="X59" s="13">
        <f t="shared" si="3"/>
        <v>-9.8148740086610555</v>
      </c>
      <c r="Y59" s="13"/>
      <c r="Z59" s="13"/>
      <c r="AB59" t="str">
        <f t="shared" si="4"/>
        <v>40.4150943396227,0.35355587808418</v>
      </c>
      <c r="AC59" t="str">
        <f t="shared" si="5"/>
        <v>41.2653574809992,-0.664839894299778</v>
      </c>
      <c r="AD59" t="str">
        <f t="shared" si="6"/>
        <v>41.1007817725695,1.74442657023532</v>
      </c>
      <c r="AE59" t="str">
        <f t="shared" si="7"/>
        <v>41.1306615598895,1.76834698908326</v>
      </c>
    </row>
    <row r="60" spans="2:31" x14ac:dyDescent="0.2">
      <c r="B60" s="3">
        <v>58</v>
      </c>
      <c r="C60" s="6">
        <v>40.415094339622698</v>
      </c>
      <c r="D60" s="6">
        <v>1.3227866473149501</v>
      </c>
      <c r="E60" s="8">
        <v>-1.5707963267949001</v>
      </c>
      <c r="F60" s="7"/>
      <c r="G60" s="10">
        <v>41.405388758524197</v>
      </c>
      <c r="H60" s="10">
        <v>0.29422190002756698</v>
      </c>
      <c r="I60" s="10">
        <v>-1.7157804453479399</v>
      </c>
      <c r="K60" s="10">
        <v>41.240813050094502</v>
      </c>
      <c r="L60" s="10">
        <v>2.7034883645626699</v>
      </c>
      <c r="M60" s="10">
        <v>-1.6253262856460799</v>
      </c>
      <c r="N60" s="13"/>
      <c r="O60" s="10">
        <v>41.2958817792953</v>
      </c>
      <c r="P60" s="10">
        <v>2.7233917854793099</v>
      </c>
      <c r="Q60" s="10">
        <v>-1.6440711587347301</v>
      </c>
      <c r="R60" s="13"/>
      <c r="S60" s="8">
        <v>-1.5707963267949001</v>
      </c>
      <c r="T60" s="13"/>
      <c r="U60" s="13">
        <f t="shared" si="0"/>
        <v>0</v>
      </c>
      <c r="V60" s="13">
        <f t="shared" si="1"/>
        <v>-8.3069780895135583</v>
      </c>
      <c r="W60" s="13">
        <f t="shared" si="2"/>
        <v>-3.1243364991946518</v>
      </c>
      <c r="X60" s="13">
        <f t="shared" si="3"/>
        <v>-4.1983386146826609</v>
      </c>
      <c r="Y60" s="13"/>
      <c r="Z60" s="13"/>
      <c r="AB60" t="str">
        <f t="shared" si="4"/>
        <v>40.4150943396227,1.32278664731495</v>
      </c>
      <c r="AC60" t="str">
        <f t="shared" si="5"/>
        <v>41.4053887585242,0.294221900027567</v>
      </c>
      <c r="AD60" t="str">
        <f t="shared" si="6"/>
        <v>41.2408130500945,2.70348836456267</v>
      </c>
      <c r="AE60" t="str">
        <f t="shared" si="7"/>
        <v>41.2958817792953,2.72339178547931</v>
      </c>
    </row>
    <row r="61" spans="2:31" x14ac:dyDescent="0.2">
      <c r="B61" s="3">
        <v>59</v>
      </c>
      <c r="C61" s="6">
        <v>40.415094339622698</v>
      </c>
      <c r="D61" s="6">
        <v>2.2920174165457201</v>
      </c>
      <c r="E61" s="8">
        <v>-1.5707963267949001</v>
      </c>
      <c r="F61" s="7"/>
      <c r="G61" s="10">
        <v>41.545420036049201</v>
      </c>
      <c r="H61" s="10">
        <v>1.2532836943549099</v>
      </c>
      <c r="I61" s="10">
        <v>-1.6253262856460799</v>
      </c>
      <c r="K61" s="10">
        <v>41.2936389751805</v>
      </c>
      <c r="L61" s="10">
        <v>3.6712784790309199</v>
      </c>
      <c r="M61" s="10">
        <v>-1.6767658311459299</v>
      </c>
      <c r="N61" s="13"/>
      <c r="O61" s="10">
        <v>41.3668384644401</v>
      </c>
      <c r="P61" s="10">
        <v>3.69002172131666</v>
      </c>
      <c r="Q61" s="10">
        <v>-1.69747858594708</v>
      </c>
      <c r="R61" s="13"/>
      <c r="S61" s="8">
        <v>-1.5707963267949001</v>
      </c>
      <c r="T61" s="13"/>
      <c r="U61" s="13">
        <f t="shared" si="0"/>
        <v>0</v>
      </c>
      <c r="V61" s="13">
        <f t="shared" si="1"/>
        <v>-3.1243364991946518</v>
      </c>
      <c r="W61" s="13">
        <f t="shared" si="2"/>
        <v>-6.0716053564072228</v>
      </c>
      <c r="X61" s="13">
        <f t="shared" si="3"/>
        <v>-7.2583587886024539</v>
      </c>
      <c r="Y61" s="13"/>
      <c r="Z61" s="13"/>
      <c r="AB61" t="str">
        <f t="shared" si="4"/>
        <v>40.4150943396227,2.29201741654572</v>
      </c>
      <c r="AC61" t="str">
        <f t="shared" si="5"/>
        <v>41.5454200360492,1.25328369435491</v>
      </c>
      <c r="AD61" t="str">
        <f t="shared" si="6"/>
        <v>41.2936389751805,3.67127847903092</v>
      </c>
      <c r="AE61" t="str">
        <f t="shared" si="7"/>
        <v>41.3668384644401,3.69002172131666</v>
      </c>
    </row>
    <row r="62" spans="2:31" x14ac:dyDescent="0.2">
      <c r="B62" s="3">
        <v>60</v>
      </c>
      <c r="C62" s="6">
        <v>40.415094339622698</v>
      </c>
      <c r="D62" s="6">
        <v>3.2612481857764899</v>
      </c>
      <c r="E62" s="8">
        <v>-1.5707963267949001</v>
      </c>
      <c r="F62" s="7"/>
      <c r="G62" s="10">
        <v>41.598245961135198</v>
      </c>
      <c r="H62" s="10">
        <v>2.2210738088231601</v>
      </c>
      <c r="I62" s="10">
        <v>-1.6767658311459299</v>
      </c>
      <c r="K62" s="10">
        <v>41.396155758413798</v>
      </c>
      <c r="L62" s="10">
        <v>4.6350723331196297</v>
      </c>
      <c r="M62" s="10">
        <v>-1.6155525697152699</v>
      </c>
      <c r="N62" s="13"/>
      <c r="O62" s="10">
        <v>41.489294656082699</v>
      </c>
      <c r="P62" s="10">
        <v>4.6514855870714102</v>
      </c>
      <c r="Q62" s="10">
        <v>-1.62643728953545</v>
      </c>
      <c r="R62" s="13"/>
      <c r="S62" s="8">
        <v>-1.5707963267949001</v>
      </c>
      <c r="T62" s="13"/>
      <c r="U62" s="13">
        <f t="shared" si="0"/>
        <v>0</v>
      </c>
      <c r="V62" s="13">
        <f t="shared" si="1"/>
        <v>-6.0716053564072228</v>
      </c>
      <c r="W62" s="13">
        <f t="shared" si="2"/>
        <v>-2.5643438261994618</v>
      </c>
      <c r="X62" s="13">
        <f t="shared" si="3"/>
        <v>-3.1879923330781734</v>
      </c>
      <c r="Y62" s="13"/>
      <c r="Z62" s="13"/>
      <c r="AB62" t="str">
        <f t="shared" si="4"/>
        <v>40.4150943396227,3.26124818577649</v>
      </c>
      <c r="AC62" t="str">
        <f t="shared" si="5"/>
        <v>41.5982459611352,2.22107380882316</v>
      </c>
      <c r="AD62" t="str">
        <f t="shared" si="6"/>
        <v>41.3961557584138,4.63507233311963</v>
      </c>
      <c r="AE62" t="str">
        <f t="shared" si="7"/>
        <v>41.4892946560827,4.65148558707141</v>
      </c>
    </row>
    <row r="63" spans="2:31" x14ac:dyDescent="0.2">
      <c r="B63" s="3">
        <v>61</v>
      </c>
      <c r="C63" s="6">
        <v>40.415094339622698</v>
      </c>
      <c r="D63" s="6">
        <v>4.2304789550072597</v>
      </c>
      <c r="E63" s="8">
        <v>-1.5707963267949001</v>
      </c>
      <c r="F63" s="7"/>
      <c r="G63" s="10">
        <v>41.700762744368603</v>
      </c>
      <c r="H63" s="10">
        <v>3.18486766291187</v>
      </c>
      <c r="I63" s="10">
        <v>-1.6155525697152699</v>
      </c>
      <c r="K63" s="10">
        <v>41.439520405342201</v>
      </c>
      <c r="L63" s="10">
        <v>5.6033325209929297</v>
      </c>
      <c r="M63" s="10">
        <v>-1.7149686377218201</v>
      </c>
      <c r="N63" s="13"/>
      <c r="O63" s="10">
        <v>41.543195766926502</v>
      </c>
      <c r="P63" s="10">
        <v>5.6192164144575498</v>
      </c>
      <c r="Q63" s="10">
        <v>-1.7445151858682499</v>
      </c>
      <c r="R63" s="13"/>
      <c r="S63" s="8">
        <v>-1.5707963267949001</v>
      </c>
      <c r="T63" s="13"/>
      <c r="U63" s="13">
        <f t="shared" si="0"/>
        <v>0</v>
      </c>
      <c r="V63" s="13">
        <f t="shared" si="1"/>
        <v>-2.5643438261994618</v>
      </c>
      <c r="W63" s="13">
        <f t="shared" si="2"/>
        <v>-8.2604649387603555</v>
      </c>
      <c r="X63" s="13">
        <f t="shared" si="3"/>
        <v>-9.9533574467308732</v>
      </c>
      <c r="Y63" s="13"/>
      <c r="Z63" s="13"/>
      <c r="AB63" t="str">
        <f t="shared" si="4"/>
        <v>40.4150943396227,4.23047895500726</v>
      </c>
      <c r="AC63" t="str">
        <f t="shared" si="5"/>
        <v>41.7007627443686,3.18486766291187</v>
      </c>
      <c r="AD63" t="str">
        <f t="shared" si="6"/>
        <v>41.4395204053422,5.60333252099293</v>
      </c>
      <c r="AE63" t="str">
        <f t="shared" si="7"/>
        <v>41.5431957669265,5.61921641445755</v>
      </c>
    </row>
    <row r="64" spans="2:31" x14ac:dyDescent="0.2">
      <c r="B64" s="3">
        <v>62</v>
      </c>
      <c r="C64" s="6">
        <v>40.415094339622698</v>
      </c>
      <c r="D64" s="6">
        <v>5.1997097242380299</v>
      </c>
      <c r="E64" s="8">
        <v>-1.5707963267949001</v>
      </c>
      <c r="F64" s="7"/>
      <c r="G64" s="10">
        <v>41.7441273912969</v>
      </c>
      <c r="H64" s="10">
        <v>4.1531278507851699</v>
      </c>
      <c r="I64" s="10">
        <v>-1.7149686377218201</v>
      </c>
      <c r="K64" s="10">
        <v>41.578773063131599</v>
      </c>
      <c r="L64" s="10">
        <v>6.5625076777407703</v>
      </c>
      <c r="M64" s="10">
        <v>-1.6992832066535</v>
      </c>
      <c r="N64" s="13"/>
      <c r="O64" s="10">
        <v>41.710723837077602</v>
      </c>
      <c r="P64" s="10">
        <v>6.5738590856885901</v>
      </c>
      <c r="Q64" s="10">
        <v>-1.7358068228296399</v>
      </c>
      <c r="R64" s="13"/>
      <c r="S64" s="8">
        <v>-1.5707963267949001</v>
      </c>
      <c r="T64" s="13"/>
      <c r="U64" s="13">
        <f t="shared" si="0"/>
        <v>0</v>
      </c>
      <c r="V64" s="13">
        <f t="shared" si="1"/>
        <v>-8.2604649387603555</v>
      </c>
      <c r="W64" s="13">
        <f t="shared" si="2"/>
        <v>-7.3617559387022355</v>
      </c>
      <c r="X64" s="13">
        <f t="shared" si="3"/>
        <v>-9.4544049981507978</v>
      </c>
      <c r="Y64" s="13"/>
      <c r="Z64" s="13"/>
      <c r="AB64" t="str">
        <f t="shared" si="4"/>
        <v>40.4150943396227,5.19970972423803</v>
      </c>
      <c r="AC64" t="str">
        <f t="shared" si="5"/>
        <v>41.7441273912969,4.15312785078517</v>
      </c>
      <c r="AD64" t="str">
        <f t="shared" si="6"/>
        <v>41.5787730631316,6.56250767774077</v>
      </c>
      <c r="AE64" t="str">
        <f t="shared" si="7"/>
        <v>41.7107238370776,6.57385908568859</v>
      </c>
    </row>
    <row r="65" spans="2:31" x14ac:dyDescent="0.2">
      <c r="B65" s="3">
        <v>63</v>
      </c>
      <c r="C65" s="6">
        <v>40.415094339622698</v>
      </c>
      <c r="D65" s="6">
        <v>6.1689404934688001</v>
      </c>
      <c r="E65" s="8">
        <v>-1.5707963267949001</v>
      </c>
      <c r="F65" s="7"/>
      <c r="G65" s="10">
        <v>41.883380049086398</v>
      </c>
      <c r="H65" s="10">
        <v>5.1123030075330096</v>
      </c>
      <c r="I65" s="10">
        <v>-1.5671826696872599</v>
      </c>
      <c r="K65" s="10">
        <v>41.702964132034303</v>
      </c>
      <c r="L65" s="10">
        <v>7.5237489910583397</v>
      </c>
      <c r="M65" s="10">
        <v>-1.5671826696872599</v>
      </c>
      <c r="N65" s="13"/>
      <c r="O65" s="10">
        <v>41.869932285095302</v>
      </c>
      <c r="P65" s="10">
        <v>7.5299244360195399</v>
      </c>
      <c r="Q65" s="10">
        <v>-1.5656360074617499</v>
      </c>
      <c r="R65" s="13"/>
      <c r="S65" s="8">
        <v>-1.5707963267949001</v>
      </c>
      <c r="T65" s="13"/>
      <c r="U65" s="13">
        <f t="shared" si="0"/>
        <v>0</v>
      </c>
      <c r="V65" s="13">
        <f t="shared" si="1"/>
        <v>0.20704730087523379</v>
      </c>
      <c r="W65" s="13">
        <f t="shared" si="2"/>
        <v>0.20704730087523379</v>
      </c>
      <c r="X65" s="13">
        <f t="shared" si="3"/>
        <v>0.2956645187292698</v>
      </c>
      <c r="Y65" s="13"/>
      <c r="Z65" s="13"/>
      <c r="AB65" t="str">
        <f t="shared" si="4"/>
        <v>40.4150943396227,6.1689404934688</v>
      </c>
      <c r="AC65" t="str">
        <f t="shared" si="5"/>
        <v>41.8833800490864,5.11230300753301</v>
      </c>
      <c r="AD65" t="str">
        <f t="shared" si="6"/>
        <v>41.7029641320343,7.52374899105834</v>
      </c>
      <c r="AE65" t="str">
        <f t="shared" si="7"/>
        <v>41.8699322850953,7.52992443601954</v>
      </c>
    </row>
    <row r="66" spans="2:31" x14ac:dyDescent="0.2">
      <c r="B66" s="3">
        <v>64</v>
      </c>
      <c r="C66" s="6">
        <v>40.415094339622698</v>
      </c>
      <c r="D66" s="6">
        <v>7.1381712626995704</v>
      </c>
      <c r="E66" s="8">
        <v>-1.5707963267949001</v>
      </c>
      <c r="F66" s="7"/>
      <c r="G66" s="10">
        <v>41.879877589050999</v>
      </c>
      <c r="H66" s="10">
        <v>6.0815274484120998</v>
      </c>
      <c r="I66" s="10">
        <v>-1.5671826696872599</v>
      </c>
      <c r="K66" s="10">
        <v>41.699461671999003</v>
      </c>
      <c r="L66" s="10">
        <v>8.4929734319374202</v>
      </c>
      <c r="M66" s="10">
        <v>-1.6433471888498301</v>
      </c>
      <c r="N66" s="13"/>
      <c r="O66" s="10">
        <v>41.864930767016197</v>
      </c>
      <c r="P66" s="10">
        <v>8.4991423005064597</v>
      </c>
      <c r="Q66" s="10">
        <v>-1.6679950203814999</v>
      </c>
      <c r="R66" s="13"/>
      <c r="S66" s="8">
        <v>-1.5707963267949001</v>
      </c>
      <c r="T66" s="13"/>
      <c r="U66" s="13">
        <f t="shared" si="0"/>
        <v>0</v>
      </c>
      <c r="V66" s="13">
        <f t="shared" si="1"/>
        <v>0.20704730087523379</v>
      </c>
      <c r="W66" s="13">
        <f t="shared" si="2"/>
        <v>-4.1568581957833199</v>
      </c>
      <c r="X66" s="13">
        <f t="shared" si="3"/>
        <v>-5.5690749166974731</v>
      </c>
      <c r="Y66" s="13"/>
      <c r="Z66" s="13"/>
      <c r="AB66" t="str">
        <f t="shared" si="4"/>
        <v>40.4150943396227,7.13817126269957</v>
      </c>
      <c r="AC66" t="str">
        <f t="shared" si="5"/>
        <v>41.879877589051,6.0815274484121</v>
      </c>
      <c r="AD66" t="str">
        <f t="shared" si="6"/>
        <v>41.699461671999,8.49297343193742</v>
      </c>
      <c r="AE66" t="str">
        <f t="shared" si="7"/>
        <v>41.8649307670162,8.49914230050646</v>
      </c>
    </row>
    <row r="67" spans="2:31" x14ac:dyDescent="0.2">
      <c r="B67" s="3">
        <v>65</v>
      </c>
      <c r="C67" s="6">
        <v>40.415094339622698</v>
      </c>
      <c r="D67" s="6">
        <v>8.1074020319303308</v>
      </c>
      <c r="E67" s="8">
        <v>-1.5707963267949001</v>
      </c>
      <c r="F67" s="7"/>
      <c r="G67" s="10">
        <v>41.876375129015699</v>
      </c>
      <c r="H67" s="10">
        <v>7.0507518892911802</v>
      </c>
      <c r="I67" s="10">
        <v>-1.4578207947439099</v>
      </c>
      <c r="K67" s="10">
        <v>41.769718527646198</v>
      </c>
      <c r="L67" s="10">
        <v>9.4596544849524395</v>
      </c>
      <c r="M67" s="10">
        <v>-1.4578207947439099</v>
      </c>
      <c r="N67" s="13"/>
      <c r="O67" s="10">
        <v>41.958990461984399</v>
      </c>
      <c r="P67" s="10">
        <v>9.4637982276670893</v>
      </c>
      <c r="Q67" s="10">
        <v>-1.4410791174202799</v>
      </c>
      <c r="R67" s="13"/>
      <c r="S67" s="8">
        <v>-1.5707963267949001</v>
      </c>
      <c r="T67" s="13"/>
      <c r="U67" s="13">
        <f t="shared" si="0"/>
        <v>0</v>
      </c>
      <c r="V67" s="13">
        <f t="shared" si="1"/>
        <v>6.4730211747666999</v>
      </c>
      <c r="W67" s="13">
        <f t="shared" si="2"/>
        <v>6.4730211747666999</v>
      </c>
      <c r="X67" s="13">
        <f t="shared" si="3"/>
        <v>7.4322486273805728</v>
      </c>
      <c r="Y67" s="13"/>
      <c r="Z67" s="13"/>
      <c r="AB67" t="str">
        <f t="shared" si="4"/>
        <v>40.4150943396227,8.10740203193033</v>
      </c>
      <c r="AC67" t="str">
        <f t="shared" si="5"/>
        <v>41.8763751290157,7.05075188929118</v>
      </c>
      <c r="AD67" t="str">
        <f t="shared" si="6"/>
        <v>41.7697185276462,9.45965448495244</v>
      </c>
      <c r="AE67" t="str">
        <f t="shared" si="7"/>
        <v>41.9589904619844,9.46379822766709</v>
      </c>
    </row>
    <row r="68" spans="2:31" x14ac:dyDescent="0.2">
      <c r="B68" s="3">
        <v>66</v>
      </c>
      <c r="C68" s="6">
        <v>40.415094339622698</v>
      </c>
      <c r="D68" s="6">
        <v>9.0766328011611002</v>
      </c>
      <c r="E68" s="8">
        <v>-1.5707963267949001</v>
      </c>
      <c r="F68" s="7"/>
      <c r="G68" s="10">
        <v>41.767108550561098</v>
      </c>
      <c r="H68" s="10">
        <v>8.0138038602961199</v>
      </c>
      <c r="I68" s="10">
        <v>-1.6097365184350501</v>
      </c>
      <c r="K68" s="10">
        <v>41.660451949191597</v>
      </c>
      <c r="L68" s="10">
        <v>10.4227064559574</v>
      </c>
      <c r="M68" s="10">
        <v>-1.6097365184350501</v>
      </c>
      <c r="N68" s="13"/>
      <c r="O68" s="10">
        <v>41.833616843815001</v>
      </c>
      <c r="P68" s="10">
        <v>10.424886017565001</v>
      </c>
      <c r="Q68" s="10">
        <v>-1.6257071512893</v>
      </c>
      <c r="R68" s="13"/>
      <c r="S68" s="8">
        <v>-1.5707963267949001</v>
      </c>
      <c r="T68" s="13"/>
      <c r="U68" s="13">
        <f t="shared" ref="U68:U131" si="10">(E68-S68)*180/PI()</f>
        <v>0</v>
      </c>
      <c r="V68" s="13">
        <f t="shared" ref="V68:V131" si="11">(I68-S68)*180/PI()</f>
        <v>-2.231108634411203</v>
      </c>
      <c r="W68" s="13">
        <f t="shared" ref="W68:W131" si="12">(M68-S68)*180/PI()</f>
        <v>-2.231108634411203</v>
      </c>
      <c r="X68" s="13">
        <f t="shared" ref="X68:X131" si="13">(Q68-S68)*180/PI()</f>
        <v>-3.1461584931126958</v>
      </c>
      <c r="Y68" s="13"/>
      <c r="Z68" s="13"/>
      <c r="AB68" t="str">
        <f t="shared" ref="AB68:AB131" si="14">C68&amp;","&amp;D68</f>
        <v>40.4150943396227,9.0766328011611</v>
      </c>
      <c r="AC68" t="str">
        <f t="shared" ref="AC68:AC131" si="15">G68&amp;","&amp;H68</f>
        <v>41.7671085505611,8.01380386029612</v>
      </c>
      <c r="AD68" t="str">
        <f t="shared" ref="AD68:AD131" si="16">K68&amp;","&amp;L68</f>
        <v>41.6604519491916,10.4227064559574</v>
      </c>
      <c r="AE68" t="str">
        <f t="shared" ref="AE68:AE131" si="17">O68&amp;","&amp;P68</f>
        <v>41.833616843815,10.424886017565</v>
      </c>
    </row>
    <row r="69" spans="2:31" x14ac:dyDescent="0.2">
      <c r="B69" s="3">
        <v>67</v>
      </c>
      <c r="C69" s="6">
        <v>40.415094339622698</v>
      </c>
      <c r="D69" s="6">
        <v>10.0458635703919</v>
      </c>
      <c r="E69" s="8">
        <v>-1.5707963267949001</v>
      </c>
      <c r="F69" s="7"/>
      <c r="G69" s="10">
        <v>41.804841044898801</v>
      </c>
      <c r="H69" s="10">
        <v>8.9822998814003494</v>
      </c>
      <c r="I69" s="10">
        <v>-1.4577848290786699</v>
      </c>
      <c r="K69" s="10">
        <v>41.6981844435293</v>
      </c>
      <c r="L69" s="10">
        <v>11.391202477061601</v>
      </c>
      <c r="M69" s="10">
        <v>-1.4577848290786699</v>
      </c>
      <c r="N69" s="13"/>
      <c r="O69" s="10">
        <v>41.8868113630651</v>
      </c>
      <c r="P69" s="10">
        <v>11.3926559422606</v>
      </c>
      <c r="Q69" s="10">
        <v>-1.4352113153364501</v>
      </c>
      <c r="R69" s="13"/>
      <c r="S69" s="8">
        <v>-1.5707963267949001</v>
      </c>
      <c r="T69" s="13"/>
      <c r="U69" s="13">
        <f t="shared" si="10"/>
        <v>0</v>
      </c>
      <c r="V69" s="13">
        <f t="shared" si="11"/>
        <v>6.4750818555923324</v>
      </c>
      <c r="W69" s="13">
        <f t="shared" si="12"/>
        <v>6.4750818555923324</v>
      </c>
      <c r="X69" s="13">
        <f t="shared" si="13"/>
        <v>7.7684489218020936</v>
      </c>
      <c r="Y69" s="13"/>
      <c r="Z69" s="13"/>
      <c r="AB69" t="str">
        <f t="shared" si="14"/>
        <v>40.4150943396227,10.0458635703919</v>
      </c>
      <c r="AC69" t="str">
        <f t="shared" si="15"/>
        <v>41.8048410448988,8.98229988140035</v>
      </c>
      <c r="AD69" t="str">
        <f t="shared" si="16"/>
        <v>41.6981844435293,11.3912024770616</v>
      </c>
      <c r="AE69" t="str">
        <f t="shared" si="17"/>
        <v>41.8868113630651,11.3926559422606</v>
      </c>
    </row>
    <row r="70" spans="2:31" x14ac:dyDescent="0.2">
      <c r="B70" s="3">
        <v>68</v>
      </c>
      <c r="C70" s="6">
        <v>40.415094339622698</v>
      </c>
      <c r="D70" s="6">
        <v>11.0150943396226</v>
      </c>
      <c r="E70" s="8">
        <v>-1.5707963267949001</v>
      </c>
      <c r="F70" s="7"/>
      <c r="G70" s="10">
        <v>41.6955398297101</v>
      </c>
      <c r="H70" s="10">
        <v>9.9453479219372394</v>
      </c>
      <c r="I70" s="10">
        <v>-1.5901742034900901</v>
      </c>
      <c r="K70" s="10">
        <v>41.588883228340599</v>
      </c>
      <c r="L70" s="10">
        <v>12.3542505175985</v>
      </c>
      <c r="M70" s="10">
        <v>-1.5901742034900901</v>
      </c>
      <c r="N70" s="13"/>
      <c r="O70" s="10">
        <v>41.755800462691198</v>
      </c>
      <c r="P70" s="10">
        <v>12.352991523194101</v>
      </c>
      <c r="Q70" s="10">
        <v>-1.60031432663883</v>
      </c>
      <c r="R70" s="13"/>
      <c r="S70" s="8">
        <v>-1.5707963267949001</v>
      </c>
      <c r="T70" s="13"/>
      <c r="U70" s="13">
        <f t="shared" si="10"/>
        <v>0</v>
      </c>
      <c r="V70" s="13">
        <f t="shared" si="11"/>
        <v>-1.1102705505593014</v>
      </c>
      <c r="W70" s="13">
        <f t="shared" si="12"/>
        <v>-1.1102705505593014</v>
      </c>
      <c r="X70" s="13">
        <f t="shared" si="13"/>
        <v>-1.6912568107250052</v>
      </c>
      <c r="Y70" s="13"/>
      <c r="Z70" s="13"/>
      <c r="AB70" t="str">
        <f t="shared" si="14"/>
        <v>40.4150943396227,11.0150943396226</v>
      </c>
      <c r="AC70" t="str">
        <f t="shared" si="15"/>
        <v>41.6955398297101,9.94534792193724</v>
      </c>
      <c r="AD70" t="str">
        <f t="shared" si="16"/>
        <v>41.5888832283406,12.3542505175985</v>
      </c>
      <c r="AE70" t="str">
        <f t="shared" si="17"/>
        <v>41.7558004626912,12.3529915231941</v>
      </c>
    </row>
    <row r="71" spans="2:31" x14ac:dyDescent="0.2">
      <c r="B71" s="3">
        <v>69</v>
      </c>
      <c r="C71" s="6">
        <v>40.415094339622698</v>
      </c>
      <c r="D71" s="6">
        <v>11.984325108853399</v>
      </c>
      <c r="E71" s="8">
        <v>-1.5707963267949001</v>
      </c>
      <c r="F71" s="7"/>
      <c r="G71" s="10">
        <v>41.714320288643698</v>
      </c>
      <c r="H71" s="10">
        <v>10.914396722765099</v>
      </c>
      <c r="I71" s="10">
        <v>-1.4628332380923399</v>
      </c>
      <c r="K71" s="10">
        <v>41.607663687274197</v>
      </c>
      <c r="L71" s="10">
        <v>13.3232993184264</v>
      </c>
      <c r="M71" s="10">
        <v>-1.4628332380923399</v>
      </c>
      <c r="N71" s="13"/>
      <c r="O71" s="10">
        <v>41.784406061895297</v>
      </c>
      <c r="P71" s="10">
        <v>13.3218000717308</v>
      </c>
      <c r="Q71" s="10">
        <v>-1.4463285358494899</v>
      </c>
      <c r="R71" s="13"/>
      <c r="S71" s="8">
        <v>-1.5707963267949001</v>
      </c>
      <c r="T71" s="13"/>
      <c r="U71" s="13">
        <f t="shared" si="10"/>
        <v>0</v>
      </c>
      <c r="V71" s="13">
        <f t="shared" si="11"/>
        <v>6.1858293258532386</v>
      </c>
      <c r="W71" s="13">
        <f t="shared" si="12"/>
        <v>6.1858293258532386</v>
      </c>
      <c r="X71" s="13">
        <f t="shared" si="13"/>
        <v>7.1314791064886442</v>
      </c>
      <c r="Y71" s="13"/>
      <c r="Z71" s="13"/>
      <c r="AB71" t="str">
        <f t="shared" si="14"/>
        <v>40.4150943396227,11.9843251088534</v>
      </c>
      <c r="AC71" t="str">
        <f t="shared" si="15"/>
        <v>41.7143202886437,10.9143967227651</v>
      </c>
      <c r="AD71" t="str">
        <f t="shared" si="16"/>
        <v>41.6076636872742,13.3232993184264</v>
      </c>
      <c r="AE71" t="str">
        <f t="shared" si="17"/>
        <v>41.7844060618953,13.3218000717308</v>
      </c>
    </row>
    <row r="72" spans="2:31" x14ac:dyDescent="0.2">
      <c r="B72" s="3">
        <v>70</v>
      </c>
      <c r="C72" s="6">
        <v>40.415094339622698</v>
      </c>
      <c r="D72" s="6">
        <v>12.953555878084201</v>
      </c>
      <c r="E72" s="8">
        <v>-1.5707963267949001</v>
      </c>
      <c r="F72" s="7"/>
      <c r="G72" s="10">
        <v>41.609882306057699</v>
      </c>
      <c r="H72" s="10">
        <v>11.8779842858942</v>
      </c>
      <c r="I72" s="10">
        <v>-1.69351013905111</v>
      </c>
      <c r="K72" s="10">
        <v>41.503225704688198</v>
      </c>
      <c r="L72" s="10">
        <v>14.2868868815554</v>
      </c>
      <c r="M72" s="10">
        <v>-1.69351013905111</v>
      </c>
      <c r="N72" s="13"/>
      <c r="O72" s="10">
        <v>41.664079299929703</v>
      </c>
      <c r="P72" s="10">
        <v>14.283532755161399</v>
      </c>
      <c r="Q72" s="10">
        <v>-1.7195537005716499</v>
      </c>
      <c r="R72" s="13"/>
      <c r="S72" s="8">
        <v>-1.5707963267949001</v>
      </c>
      <c r="T72" s="13"/>
      <c r="U72" s="13">
        <f t="shared" si="10"/>
        <v>0</v>
      </c>
      <c r="V72" s="13">
        <f t="shared" si="11"/>
        <v>-7.0309835302415831</v>
      </c>
      <c r="W72" s="13">
        <f t="shared" si="12"/>
        <v>-7.0309835302415831</v>
      </c>
      <c r="X72" s="13">
        <f t="shared" si="13"/>
        <v>-8.5231696888578306</v>
      </c>
      <c r="Y72" s="13"/>
      <c r="Z72" s="13"/>
      <c r="AB72" t="str">
        <f t="shared" si="14"/>
        <v>40.4150943396227,12.9535558780842</v>
      </c>
      <c r="AC72" t="str">
        <f t="shared" si="15"/>
        <v>41.6098823060577,11.8779842858942</v>
      </c>
      <c r="AD72" t="str">
        <f t="shared" si="16"/>
        <v>41.5032257046882,14.2868868815554</v>
      </c>
      <c r="AE72" t="str">
        <f t="shared" si="17"/>
        <v>41.6640792999297,14.2835327551614</v>
      </c>
    </row>
    <row r="73" spans="2:31" x14ac:dyDescent="0.2">
      <c r="B73" s="3">
        <v>71</v>
      </c>
      <c r="C73" s="6">
        <v>40.415094339622698</v>
      </c>
      <c r="D73" s="6">
        <v>13.922786647315</v>
      </c>
      <c r="E73" s="8">
        <v>-1.5707963267949001</v>
      </c>
      <c r="F73" s="7"/>
      <c r="G73" s="10">
        <v>41.728522025167699</v>
      </c>
      <c r="H73" s="10">
        <v>12.8399265404361</v>
      </c>
      <c r="I73" s="10">
        <v>-1.49351451052034</v>
      </c>
      <c r="K73" s="10">
        <v>41.621865423798198</v>
      </c>
      <c r="L73" s="10">
        <v>15.248829136097299</v>
      </c>
      <c r="M73" s="10">
        <v>-1.49351451052034</v>
      </c>
      <c r="N73" s="13"/>
      <c r="O73" s="10">
        <v>41.807728356949703</v>
      </c>
      <c r="P73" s="10">
        <v>15.2420593497017</v>
      </c>
      <c r="Q73" s="10">
        <v>-1.4797245852143099</v>
      </c>
      <c r="R73" s="13"/>
      <c r="S73" s="8">
        <v>-1.5707963267949001</v>
      </c>
      <c r="T73" s="13"/>
      <c r="U73" s="13">
        <f t="shared" si="10"/>
        <v>0</v>
      </c>
      <c r="V73" s="13">
        <f t="shared" si="11"/>
        <v>4.4279219056377324</v>
      </c>
      <c r="W73" s="13">
        <f t="shared" si="12"/>
        <v>4.4279219056377324</v>
      </c>
      <c r="X73" s="13">
        <f t="shared" si="13"/>
        <v>5.2180264254739059</v>
      </c>
      <c r="Y73" s="13"/>
      <c r="Z73" s="13"/>
      <c r="AB73" t="str">
        <f t="shared" si="14"/>
        <v>40.4150943396227,13.922786647315</v>
      </c>
      <c r="AC73" t="str">
        <f t="shared" si="15"/>
        <v>41.7285220251677,12.8399265404361</v>
      </c>
      <c r="AD73" t="str">
        <f t="shared" si="16"/>
        <v>41.6218654237982,15.2488291360973</v>
      </c>
      <c r="AE73" t="str">
        <f t="shared" si="17"/>
        <v>41.8077283569497,15.2420593497017</v>
      </c>
    </row>
    <row r="74" spans="2:31" x14ac:dyDescent="0.2">
      <c r="B74" s="3">
        <v>72</v>
      </c>
      <c r="C74" s="6">
        <v>40.415094339622698</v>
      </c>
      <c r="D74" s="6">
        <v>14.8920174165457</v>
      </c>
      <c r="E74" s="8">
        <v>-1.5707963267949001</v>
      </c>
      <c r="F74" s="7"/>
      <c r="G74" s="10">
        <v>41.653692649014097</v>
      </c>
      <c r="H74" s="10">
        <v>13.8062643946507</v>
      </c>
      <c r="I74" s="10">
        <v>-1.6835747590935</v>
      </c>
      <c r="K74" s="10">
        <v>41.547036047644603</v>
      </c>
      <c r="L74" s="10">
        <v>16.215166990311999</v>
      </c>
      <c r="M74" s="10">
        <v>-1.6835747590935</v>
      </c>
      <c r="N74" s="13"/>
      <c r="O74" s="10">
        <v>41.719580791043903</v>
      </c>
      <c r="P74" s="10">
        <v>16.2072734661797</v>
      </c>
      <c r="Q74" s="10">
        <v>-1.7108249620757301</v>
      </c>
      <c r="R74" s="13"/>
      <c r="S74" s="8">
        <v>-1.5707963267949001</v>
      </c>
      <c r="T74" s="13"/>
      <c r="U74" s="13">
        <f t="shared" si="10"/>
        <v>0</v>
      </c>
      <c r="V74" s="13">
        <f t="shared" si="11"/>
        <v>-6.4617281908116597</v>
      </c>
      <c r="W74" s="13">
        <f t="shared" si="12"/>
        <v>-6.4617281908116597</v>
      </c>
      <c r="X74" s="13">
        <f t="shared" si="13"/>
        <v>-8.0230498125682548</v>
      </c>
      <c r="Y74" s="13"/>
      <c r="Z74" s="13"/>
      <c r="AB74" t="str">
        <f t="shared" si="14"/>
        <v>40.4150943396227,14.8920174165457</v>
      </c>
      <c r="AC74" t="str">
        <f t="shared" si="15"/>
        <v>41.6536926490141,13.8062643946507</v>
      </c>
      <c r="AD74" t="str">
        <f t="shared" si="16"/>
        <v>41.5470360476446,16.215166990312</v>
      </c>
      <c r="AE74" t="str">
        <f t="shared" si="17"/>
        <v>41.7195807910439,16.2072734661797</v>
      </c>
    </row>
    <row r="75" spans="2:31" x14ac:dyDescent="0.2">
      <c r="B75" s="3">
        <v>73</v>
      </c>
      <c r="C75" s="6">
        <v>40.415094339622698</v>
      </c>
      <c r="D75" s="6">
        <v>15.8612481857765</v>
      </c>
      <c r="E75" s="8">
        <v>-1.5707963267949001</v>
      </c>
      <c r="F75" s="7"/>
      <c r="G75" s="10">
        <v>41.762769408042402</v>
      </c>
      <c r="H75" s="10">
        <v>14.769337883364599</v>
      </c>
      <c r="I75" s="10">
        <v>-1.4576981288509201</v>
      </c>
      <c r="K75" s="10">
        <v>41.656112806672901</v>
      </c>
      <c r="L75" s="10">
        <v>17.178240479025899</v>
      </c>
      <c r="M75" s="10">
        <v>-1.4576981288509201</v>
      </c>
      <c r="N75" s="13"/>
      <c r="O75" s="10">
        <v>41.854857753984</v>
      </c>
      <c r="P75" s="10">
        <v>17.167017404593199</v>
      </c>
      <c r="Q75" s="10">
        <v>-1.4350042382879</v>
      </c>
      <c r="R75" s="13"/>
      <c r="S75" s="8">
        <v>-1.5707963267949001</v>
      </c>
      <c r="T75" s="13"/>
      <c r="U75" s="13">
        <f t="shared" si="10"/>
        <v>0</v>
      </c>
      <c r="V75" s="13">
        <f t="shared" si="11"/>
        <v>6.4800494127252195</v>
      </c>
      <c r="W75" s="13">
        <f t="shared" si="12"/>
        <v>6.4800494127252195</v>
      </c>
      <c r="X75" s="13">
        <f t="shared" si="13"/>
        <v>7.7803135627180371</v>
      </c>
      <c r="Y75" s="13"/>
      <c r="Z75" s="13"/>
      <c r="AB75" t="str">
        <f t="shared" si="14"/>
        <v>40.4150943396227,15.8612481857765</v>
      </c>
      <c r="AC75" t="str">
        <f t="shared" si="15"/>
        <v>41.7627694080424,14.7693378833646</v>
      </c>
      <c r="AD75" t="str">
        <f t="shared" si="16"/>
        <v>41.6561128066729,17.1782404790259</v>
      </c>
      <c r="AE75" t="str">
        <f t="shared" si="17"/>
        <v>41.854857753984,17.1670174045932</v>
      </c>
    </row>
    <row r="76" spans="2:31" x14ac:dyDescent="0.2">
      <c r="B76" s="3">
        <v>74</v>
      </c>
      <c r="C76" s="6">
        <v>40.415094339622698</v>
      </c>
      <c r="D76" s="6">
        <v>16.830478955007301</v>
      </c>
      <c r="E76" s="8">
        <v>-1.5707963267949001</v>
      </c>
      <c r="F76" s="7"/>
      <c r="G76" s="10">
        <v>41.653384696780201</v>
      </c>
      <c r="H76" s="10">
        <v>15.7323764438417</v>
      </c>
      <c r="I76" s="10">
        <v>-1.6909251214935801</v>
      </c>
      <c r="K76" s="10">
        <v>41.5467280954107</v>
      </c>
      <c r="L76" s="10">
        <v>18.141279039502901</v>
      </c>
      <c r="M76" s="10">
        <v>-1.6909251214935801</v>
      </c>
      <c r="N76" s="13"/>
      <c r="O76" s="10">
        <v>41.723647992962803</v>
      </c>
      <c r="P76" s="10">
        <v>18.127325835586301</v>
      </c>
      <c r="Q76" s="10">
        <v>-1.7178344939516601</v>
      </c>
      <c r="R76" s="13"/>
      <c r="S76" s="8">
        <v>-1.5707963267949001</v>
      </c>
      <c r="T76" s="13"/>
      <c r="U76" s="13">
        <f t="shared" si="10"/>
        <v>0</v>
      </c>
      <c r="V76" s="13">
        <f t="shared" si="11"/>
        <v>-6.8828729342279003</v>
      </c>
      <c r="W76" s="13">
        <f t="shared" si="12"/>
        <v>-6.8828729342279003</v>
      </c>
      <c r="X76" s="13">
        <f t="shared" si="13"/>
        <v>-8.4246664054214637</v>
      </c>
      <c r="Y76" s="13"/>
      <c r="Z76" s="13"/>
      <c r="AB76" t="str">
        <f t="shared" si="14"/>
        <v>40.4150943396227,16.8304789550073</v>
      </c>
      <c r="AC76" t="str">
        <f t="shared" si="15"/>
        <v>41.6533846967802,15.7323764438417</v>
      </c>
      <c r="AD76" t="str">
        <f t="shared" si="16"/>
        <v>41.5467280954107,18.1412790395029</v>
      </c>
      <c r="AE76" t="str">
        <f t="shared" si="17"/>
        <v>41.7236479929628,18.1273258355863</v>
      </c>
    </row>
    <row r="77" spans="2:31" x14ac:dyDescent="0.2">
      <c r="B77" s="3">
        <v>75</v>
      </c>
      <c r="C77" s="6">
        <v>40.415094339622698</v>
      </c>
      <c r="D77" s="6">
        <v>17.799709724237999</v>
      </c>
      <c r="E77" s="8">
        <v>-1.5707963267949001</v>
      </c>
      <c r="F77" s="7"/>
      <c r="G77" s="10">
        <v>41.769537384648501</v>
      </c>
      <c r="H77" s="10">
        <v>16.6946221697998</v>
      </c>
      <c r="I77" s="10">
        <v>-1.42507644775633</v>
      </c>
      <c r="K77" s="10">
        <v>41.662880783279</v>
      </c>
      <c r="L77" s="10">
        <v>19.103524765461</v>
      </c>
      <c r="M77" s="10">
        <v>-1.42507644775633</v>
      </c>
      <c r="N77" s="13"/>
      <c r="O77" s="10">
        <v>41.865648933238099</v>
      </c>
      <c r="P77" s="10">
        <v>19.086097975870199</v>
      </c>
      <c r="Q77" s="10">
        <v>-1.41027164666418</v>
      </c>
      <c r="R77" s="13"/>
      <c r="S77" s="8">
        <v>-1.5707963267949001</v>
      </c>
      <c r="T77" s="13"/>
      <c r="U77" s="13">
        <f t="shared" si="10"/>
        <v>0</v>
      </c>
      <c r="V77" s="13">
        <f t="shared" si="11"/>
        <v>8.3491340600669375</v>
      </c>
      <c r="W77" s="13">
        <f t="shared" si="12"/>
        <v>8.3491340600669375</v>
      </c>
      <c r="X77" s="13">
        <f t="shared" si="13"/>
        <v>9.1973866791778054</v>
      </c>
      <c r="Y77" s="13"/>
      <c r="Z77" s="13"/>
      <c r="AB77" t="str">
        <f t="shared" si="14"/>
        <v>40.4150943396227,17.799709724238</v>
      </c>
      <c r="AC77" t="str">
        <f t="shared" si="15"/>
        <v>41.7695373846485,16.6946221697998</v>
      </c>
      <c r="AD77" t="str">
        <f t="shared" si="16"/>
        <v>41.662880783279,19.103524765461</v>
      </c>
      <c r="AE77" t="str">
        <f t="shared" si="17"/>
        <v>41.8656489332381,19.0860979758702</v>
      </c>
    </row>
    <row r="78" spans="2:31" x14ac:dyDescent="0.2">
      <c r="B78" s="3">
        <v>76</v>
      </c>
      <c r="C78" s="6">
        <v>40.415094339622698</v>
      </c>
      <c r="D78" s="6">
        <v>18.768940493468801</v>
      </c>
      <c r="E78" s="8">
        <v>-1.5707963267949001</v>
      </c>
      <c r="F78" s="7"/>
      <c r="G78" s="10">
        <v>41.628800505318303</v>
      </c>
      <c r="H78" s="10">
        <v>17.653580675064699</v>
      </c>
      <c r="I78" s="10">
        <v>-1.69780519780025</v>
      </c>
      <c r="K78" s="10">
        <v>41.522143903948802</v>
      </c>
      <c r="L78" s="10">
        <v>20.062483270725998</v>
      </c>
      <c r="M78" s="10">
        <v>-1.69780519780025</v>
      </c>
      <c r="N78" s="13"/>
      <c r="O78" s="10">
        <v>41.710730805827602</v>
      </c>
      <c r="P78" s="10">
        <v>20.042867884376601</v>
      </c>
      <c r="Q78" s="10">
        <v>-1.7228237522630501</v>
      </c>
      <c r="R78" s="13"/>
      <c r="S78" s="8">
        <v>-1.5707963267949001</v>
      </c>
      <c r="T78" s="13"/>
      <c r="U78" s="13">
        <f t="shared" si="10"/>
        <v>0</v>
      </c>
      <c r="V78" s="13">
        <f t="shared" si="11"/>
        <v>-7.2770722693280394</v>
      </c>
      <c r="W78" s="13">
        <f t="shared" si="12"/>
        <v>-7.2770722693280394</v>
      </c>
      <c r="X78" s="13">
        <f t="shared" si="13"/>
        <v>-8.7105298495646757</v>
      </c>
      <c r="Y78" s="13"/>
      <c r="Z78" s="13"/>
      <c r="AB78" t="str">
        <f t="shared" si="14"/>
        <v>40.4150943396227,18.7689404934688</v>
      </c>
      <c r="AC78" t="str">
        <f t="shared" si="15"/>
        <v>41.6288005053183,17.6535806750647</v>
      </c>
      <c r="AD78" t="str">
        <f t="shared" si="16"/>
        <v>41.5221439039488,20.062483270726</v>
      </c>
      <c r="AE78" t="str">
        <f t="shared" si="17"/>
        <v>41.7107308058276,20.0428678843766</v>
      </c>
    </row>
    <row r="79" spans="2:31" x14ac:dyDescent="0.2">
      <c r="B79" s="3">
        <v>77</v>
      </c>
      <c r="C79" s="6">
        <v>40.415094339622698</v>
      </c>
      <c r="D79" s="6">
        <v>19.738171262699598</v>
      </c>
      <c r="E79" s="8">
        <v>-1.5707963267949001</v>
      </c>
      <c r="F79" s="7"/>
      <c r="G79" s="10">
        <v>41.751570715918703</v>
      </c>
      <c r="H79" s="10">
        <v>18.6150044938943</v>
      </c>
      <c r="I79" s="10">
        <v>-1.69780519780025</v>
      </c>
      <c r="K79" s="10">
        <v>41.644914114549202</v>
      </c>
      <c r="L79" s="10">
        <v>21.0239070895556</v>
      </c>
      <c r="M79" s="10">
        <v>-1.69118678060925</v>
      </c>
      <c r="N79" s="13"/>
      <c r="O79" s="10">
        <v>41.857513520737001</v>
      </c>
      <c r="P79" s="10">
        <v>21.0009196150402</v>
      </c>
      <c r="Q79" s="10">
        <v>-1.7148000067367799</v>
      </c>
      <c r="R79" s="13"/>
      <c r="S79" s="8">
        <v>-1.5707963267949001</v>
      </c>
      <c r="T79" s="13"/>
      <c r="U79" s="13">
        <f t="shared" si="10"/>
        <v>0</v>
      </c>
      <c r="V79" s="13">
        <f t="shared" si="11"/>
        <v>-7.2770722693280394</v>
      </c>
      <c r="W79" s="13">
        <f t="shared" si="12"/>
        <v>-6.8978648972269117</v>
      </c>
      <c r="X79" s="13">
        <f t="shared" si="13"/>
        <v>-8.2508030950224214</v>
      </c>
      <c r="Y79" s="13"/>
      <c r="Z79" s="13"/>
      <c r="AB79" t="str">
        <f t="shared" si="14"/>
        <v>40.4150943396227,19.7381712626996</v>
      </c>
      <c r="AC79" t="str">
        <f t="shared" si="15"/>
        <v>41.7515707159187,18.6150044938943</v>
      </c>
      <c r="AD79" t="str">
        <f t="shared" si="16"/>
        <v>41.6449141145492,21.0239070895556</v>
      </c>
      <c r="AE79" t="str">
        <f t="shared" si="17"/>
        <v>41.857513520737,21.0009196150402</v>
      </c>
    </row>
    <row r="80" spans="2:31" x14ac:dyDescent="0.2">
      <c r="B80" s="3">
        <v>78</v>
      </c>
      <c r="C80" s="6">
        <v>40.415094339622698</v>
      </c>
      <c r="D80" s="6">
        <v>20.7074020319303</v>
      </c>
      <c r="E80" s="8">
        <v>-1.5707963267949001</v>
      </c>
      <c r="F80" s="7"/>
      <c r="G80" s="10">
        <v>41.874340926519103</v>
      </c>
      <c r="H80" s="10">
        <v>19.576428312723799</v>
      </c>
      <c r="I80" s="10">
        <v>-1.52263384360608</v>
      </c>
      <c r="K80" s="10">
        <v>41.761318578804101</v>
      </c>
      <c r="L80" s="10">
        <v>21.986122390164098</v>
      </c>
      <c r="M80" s="10">
        <v>-1.52263384360608</v>
      </c>
      <c r="N80" s="13"/>
      <c r="O80" s="10">
        <v>41.996604429895797</v>
      </c>
      <c r="P80" s="10">
        <v>21.960118240463</v>
      </c>
      <c r="Q80" s="10">
        <v>-1.52172863633364</v>
      </c>
      <c r="R80" s="13"/>
      <c r="S80" s="8">
        <v>-1.5707963267949001</v>
      </c>
      <c r="T80" s="13"/>
      <c r="U80" s="13">
        <f t="shared" si="10"/>
        <v>0</v>
      </c>
      <c r="V80" s="13">
        <f t="shared" si="11"/>
        <v>2.7595070175891707</v>
      </c>
      <c r="W80" s="13">
        <f t="shared" si="12"/>
        <v>2.7595070175891707</v>
      </c>
      <c r="X80" s="13">
        <f t="shared" si="13"/>
        <v>2.8113715738845335</v>
      </c>
      <c r="Y80" s="13"/>
      <c r="Z80" s="13"/>
      <c r="AB80" t="str">
        <f t="shared" si="14"/>
        <v>40.4150943396227,20.7074020319303</v>
      </c>
      <c r="AC80" t="str">
        <f t="shared" si="15"/>
        <v>41.8743409265191,19.5764283127238</v>
      </c>
      <c r="AD80" t="str">
        <f t="shared" si="16"/>
        <v>41.7613185788041,21.9861223901641</v>
      </c>
      <c r="AE80" t="str">
        <f t="shared" si="17"/>
        <v>41.9966044298958,21.960118240463</v>
      </c>
    </row>
    <row r="81" spans="2:31" x14ac:dyDescent="0.2">
      <c r="B81" s="3">
        <v>79</v>
      </c>
      <c r="C81" s="6">
        <v>40.415094339622698</v>
      </c>
      <c r="D81" s="6">
        <v>21.676632801161102</v>
      </c>
      <c r="E81" s="8">
        <v>-1.5707963267949001</v>
      </c>
      <c r="F81" s="7"/>
      <c r="G81" s="10">
        <v>41.827678410694602</v>
      </c>
      <c r="H81" s="10">
        <v>20.544535173375401</v>
      </c>
      <c r="I81" s="10">
        <v>-1.68573281518629</v>
      </c>
      <c r="K81" s="10">
        <v>41.7146560629796</v>
      </c>
      <c r="L81" s="10">
        <v>22.9542292508157</v>
      </c>
      <c r="M81" s="10">
        <v>-1.68573281518629</v>
      </c>
      <c r="N81" s="13"/>
      <c r="O81" s="10">
        <v>41.949065595937803</v>
      </c>
      <c r="P81" s="10">
        <v>22.928182465238201</v>
      </c>
      <c r="Q81" s="10">
        <v>-1.7045622295854299</v>
      </c>
      <c r="R81" s="13"/>
      <c r="S81" s="8">
        <v>-1.5707963267949001</v>
      </c>
      <c r="T81" s="13"/>
      <c r="U81" s="13">
        <f t="shared" si="10"/>
        <v>0</v>
      </c>
      <c r="V81" s="13">
        <f t="shared" si="11"/>
        <v>-6.5853756968810231</v>
      </c>
      <c r="W81" s="13">
        <f t="shared" si="12"/>
        <v>-6.5853756968810231</v>
      </c>
      <c r="X81" s="13">
        <f t="shared" si="13"/>
        <v>-7.6642216726545991</v>
      </c>
      <c r="Y81" s="13"/>
      <c r="Z81" s="13"/>
      <c r="AB81" t="str">
        <f t="shared" si="14"/>
        <v>40.4150943396227,21.6766328011611</v>
      </c>
      <c r="AC81" t="str">
        <f t="shared" si="15"/>
        <v>41.8276784106946,20.5445351733754</v>
      </c>
      <c r="AD81" t="str">
        <f t="shared" si="16"/>
        <v>41.7146560629796,22.9542292508157</v>
      </c>
      <c r="AE81" t="str">
        <f t="shared" si="17"/>
        <v>41.9490655959378,22.9281824652382</v>
      </c>
    </row>
    <row r="82" spans="2:31" x14ac:dyDescent="0.2">
      <c r="B82" s="3">
        <v>80</v>
      </c>
      <c r="C82" s="6">
        <v>40.415094339622698</v>
      </c>
      <c r="D82" s="6">
        <v>22.645863570391899</v>
      </c>
      <c r="E82" s="8">
        <v>-1.5707963267949001</v>
      </c>
      <c r="F82" s="7"/>
      <c r="G82" s="10">
        <v>41.9388332807235</v>
      </c>
      <c r="H82" s="10">
        <v>21.507371025892599</v>
      </c>
      <c r="I82" s="10">
        <v>-1.68573281518629</v>
      </c>
      <c r="K82" s="10">
        <v>41.825810933008498</v>
      </c>
      <c r="L82" s="10">
        <v>23.917065103332899</v>
      </c>
      <c r="M82" s="10">
        <v>-1.7218690680087601</v>
      </c>
      <c r="N82" s="13"/>
      <c r="O82" s="10">
        <v>42.078329325728099</v>
      </c>
      <c r="P82" s="10">
        <v>23.888754780154901</v>
      </c>
      <c r="Q82" s="10">
        <v>-1.7415587627251901</v>
      </c>
      <c r="R82" s="13"/>
      <c r="S82" s="8">
        <v>-1.5707963267949001</v>
      </c>
      <c r="T82" s="13"/>
      <c r="U82" s="13">
        <f t="shared" si="10"/>
        <v>0</v>
      </c>
      <c r="V82" s="13">
        <f t="shared" si="11"/>
        <v>-6.5853756968810231</v>
      </c>
      <c r="W82" s="13">
        <f t="shared" si="12"/>
        <v>-8.655830471026265</v>
      </c>
      <c r="X82" s="13">
        <f t="shared" si="13"/>
        <v>-9.7839668781787399</v>
      </c>
      <c r="Y82" s="13"/>
      <c r="Z82" s="13"/>
      <c r="AB82" t="str">
        <f t="shared" si="14"/>
        <v>40.4150943396227,22.6458635703919</v>
      </c>
      <c r="AC82" t="str">
        <f t="shared" si="15"/>
        <v>41.9388332807235,21.5073710258926</v>
      </c>
      <c r="AD82" t="str">
        <f t="shared" si="16"/>
        <v>41.8258109330085,23.9170651033329</v>
      </c>
      <c r="AE82" t="str">
        <f t="shared" si="17"/>
        <v>42.0783293257281,23.8887547801549</v>
      </c>
    </row>
    <row r="83" spans="2:31" x14ac:dyDescent="0.2">
      <c r="B83" s="3">
        <v>81</v>
      </c>
      <c r="C83" s="6">
        <v>40.415094339622698</v>
      </c>
      <c r="D83" s="6">
        <v>23.615094339622601</v>
      </c>
      <c r="E83" s="8">
        <v>-1.5707963267949001</v>
      </c>
      <c r="F83" s="7"/>
      <c r="G83" s="10">
        <v>42.049988150752398</v>
      </c>
      <c r="H83" s="10">
        <v>22.470206878409801</v>
      </c>
      <c r="I83" s="10">
        <v>-1.7218690680087601</v>
      </c>
      <c r="K83" s="10">
        <v>41.971678944264198</v>
      </c>
      <c r="L83" s="10">
        <v>24.875256528527199</v>
      </c>
      <c r="M83" s="10">
        <v>-1.7681314521862801</v>
      </c>
      <c r="N83" s="13"/>
      <c r="O83" s="10">
        <v>42.243034340170098</v>
      </c>
      <c r="P83" s="10">
        <v>24.843888562533699</v>
      </c>
      <c r="Q83" s="10">
        <v>-1.8061095928589901</v>
      </c>
      <c r="R83" s="13"/>
      <c r="S83" s="8">
        <v>-1.5707963267949001</v>
      </c>
      <c r="T83" s="13"/>
      <c r="U83" s="13">
        <f t="shared" si="10"/>
        <v>0</v>
      </c>
      <c r="V83" s="13">
        <f t="shared" si="11"/>
        <v>-8.655830471026265</v>
      </c>
      <c r="W83" s="13">
        <f t="shared" si="12"/>
        <v>-11.306469834610962</v>
      </c>
      <c r="X83" s="13">
        <f t="shared" si="13"/>
        <v>-13.482457008911377</v>
      </c>
      <c r="Y83" s="13"/>
      <c r="Z83" s="13"/>
      <c r="AB83" t="str">
        <f t="shared" si="14"/>
        <v>40.4150943396227,23.6150943396226</v>
      </c>
      <c r="AC83" t="str">
        <f t="shared" si="15"/>
        <v>42.0499881507524,22.4702068784098</v>
      </c>
      <c r="AD83" t="str">
        <f t="shared" si="16"/>
        <v>41.9716789442642,24.8752565285272</v>
      </c>
      <c r="AE83" t="str">
        <f t="shared" si="17"/>
        <v>42.2430343401701,24.8438885625337</v>
      </c>
    </row>
    <row r="84" spans="2:31" x14ac:dyDescent="0.2">
      <c r="B84" s="3">
        <v>82</v>
      </c>
      <c r="C84" s="6">
        <v>40.415094339622698</v>
      </c>
      <c r="D84" s="6">
        <v>24.584325108853399</v>
      </c>
      <c r="E84" s="8">
        <v>-1.5707963267949001</v>
      </c>
      <c r="F84" s="7"/>
      <c r="G84" s="10">
        <v>42.195856162008099</v>
      </c>
      <c r="H84" s="10">
        <v>23.428398303604101</v>
      </c>
      <c r="I84" s="10">
        <v>-1.5461953546171301</v>
      </c>
      <c r="K84" s="10">
        <v>42.161703298984698</v>
      </c>
      <c r="L84" s="10">
        <v>25.825676976874501</v>
      </c>
      <c r="M84" s="10">
        <v>-1.5461953546171301</v>
      </c>
      <c r="N84" s="13"/>
      <c r="O84" s="10">
        <v>42.469008196767099</v>
      </c>
      <c r="P84" s="10">
        <v>25.786408641979399</v>
      </c>
      <c r="Q84" s="10">
        <v>-1.55782742559804</v>
      </c>
      <c r="R84" s="13"/>
      <c r="S84" s="8">
        <v>-1.5707963267949001</v>
      </c>
      <c r="T84" s="13"/>
      <c r="U84" s="13">
        <f t="shared" si="10"/>
        <v>0</v>
      </c>
      <c r="V84" s="13">
        <f t="shared" si="11"/>
        <v>1.4095318777049837</v>
      </c>
      <c r="W84" s="13">
        <f t="shared" si="12"/>
        <v>1.4095318777049837</v>
      </c>
      <c r="X84" s="13">
        <f t="shared" si="13"/>
        <v>0.7430633035022467</v>
      </c>
      <c r="Y84" s="13"/>
      <c r="Z84" s="13"/>
      <c r="AB84" t="str">
        <f t="shared" si="14"/>
        <v>40.4150943396227,24.5843251088534</v>
      </c>
      <c r="AC84" t="str">
        <f t="shared" si="15"/>
        <v>42.1958561620081,23.4283983036041</v>
      </c>
      <c r="AD84" t="str">
        <f t="shared" si="16"/>
        <v>42.1617032989847,25.8256769768745</v>
      </c>
      <c r="AE84" t="str">
        <f t="shared" si="17"/>
        <v>42.4690081967671,25.7864086419794</v>
      </c>
    </row>
    <row r="85" spans="2:31" x14ac:dyDescent="0.2">
      <c r="B85" s="3">
        <v>83</v>
      </c>
      <c r="C85" s="6">
        <v>40.415094339622698</v>
      </c>
      <c r="D85" s="6">
        <v>25.5535558780842</v>
      </c>
      <c r="E85" s="8">
        <v>-1.5707963267949001</v>
      </c>
      <c r="F85" s="7"/>
      <c r="G85" s="10">
        <v>42.1720145478455</v>
      </c>
      <c r="H85" s="10">
        <v>24.397335794600199</v>
      </c>
      <c r="I85" s="10">
        <v>-1.7676794149081201</v>
      </c>
      <c r="K85" s="10">
        <v>42.137861684822099</v>
      </c>
      <c r="L85" s="10">
        <v>26.794614467870598</v>
      </c>
      <c r="M85" s="10">
        <v>-1.7676794149081201</v>
      </c>
      <c r="N85" s="13"/>
      <c r="O85" s="10">
        <v>42.456438691040198</v>
      </c>
      <c r="P85" s="10">
        <v>26.7555579037288</v>
      </c>
      <c r="Q85" s="10">
        <v>-1.7860716877450999</v>
      </c>
      <c r="R85" s="13"/>
      <c r="S85" s="8">
        <v>-1.5707963267949001</v>
      </c>
      <c r="T85" s="13"/>
      <c r="U85" s="13">
        <f t="shared" si="10"/>
        <v>0</v>
      </c>
      <c r="V85" s="13">
        <f t="shared" si="11"/>
        <v>-11.28057000638981</v>
      </c>
      <c r="W85" s="13">
        <f t="shared" si="12"/>
        <v>-11.28057000638981</v>
      </c>
      <c r="X85" s="13">
        <f t="shared" si="13"/>
        <v>-12.334369615601863</v>
      </c>
      <c r="Y85" s="13"/>
      <c r="Z85" s="13"/>
      <c r="AB85" t="str">
        <f t="shared" si="14"/>
        <v>40.4150943396227,25.5535558780842</v>
      </c>
      <c r="AC85" t="str">
        <f t="shared" si="15"/>
        <v>42.1720145478455,24.3973357946002</v>
      </c>
      <c r="AD85" t="str">
        <f t="shared" si="16"/>
        <v>42.1378616848221,26.7946144678706</v>
      </c>
      <c r="AE85" t="str">
        <f t="shared" si="17"/>
        <v>42.4564386910402,26.7555579037288</v>
      </c>
    </row>
    <row r="86" spans="2:31" x14ac:dyDescent="0.2">
      <c r="B86" s="3">
        <v>84</v>
      </c>
      <c r="C86" s="6">
        <v>40.415094339622698</v>
      </c>
      <c r="D86" s="6">
        <v>26.522786647315002</v>
      </c>
      <c r="E86" s="8">
        <v>-1.5707963267949001</v>
      </c>
      <c r="F86" s="7"/>
      <c r="G86" s="10">
        <v>42.361609257693502</v>
      </c>
      <c r="H86" s="10">
        <v>25.347842043933401</v>
      </c>
      <c r="I86" s="10">
        <v>-1.5606665769853501</v>
      </c>
      <c r="K86" s="10">
        <v>42.327456394670001</v>
      </c>
      <c r="L86" s="10">
        <v>27.745120717203701</v>
      </c>
      <c r="M86" s="10">
        <v>-1.5606665769853501</v>
      </c>
      <c r="N86" s="13"/>
      <c r="O86" s="10">
        <v>42.663482318817202</v>
      </c>
      <c r="P86" s="10">
        <v>27.702416509974</v>
      </c>
      <c r="Q86" s="10">
        <v>-1.57339044795037</v>
      </c>
      <c r="R86" s="13"/>
      <c r="S86" s="8">
        <v>-1.5707963267949001</v>
      </c>
      <c r="T86" s="13"/>
      <c r="U86" s="13">
        <f t="shared" si="10"/>
        <v>0</v>
      </c>
      <c r="V86" s="13">
        <f t="shared" si="11"/>
        <v>0.58039191161066783</v>
      </c>
      <c r="W86" s="13">
        <f t="shared" si="12"/>
        <v>0.58039191161066783</v>
      </c>
      <c r="X86" s="13">
        <f t="shared" si="13"/>
        <v>-0.14863219375402367</v>
      </c>
      <c r="Y86" s="13"/>
      <c r="Z86" s="13"/>
      <c r="AB86" t="str">
        <f t="shared" si="14"/>
        <v>40.4150943396227,26.522786647315</v>
      </c>
      <c r="AC86" t="str">
        <f t="shared" si="15"/>
        <v>42.3616092576935,25.3478420439334</v>
      </c>
      <c r="AD86" t="str">
        <f t="shared" si="16"/>
        <v>42.32745639467,27.7451207172037</v>
      </c>
      <c r="AE86" t="str">
        <f t="shared" si="17"/>
        <v>42.6634823188172,27.702416509974</v>
      </c>
    </row>
    <row r="87" spans="2:31" x14ac:dyDescent="0.2">
      <c r="B87" s="3">
        <v>85</v>
      </c>
      <c r="C87" s="6">
        <v>40.415094339622698</v>
      </c>
      <c r="D87" s="6">
        <v>27.4920174165457</v>
      </c>
      <c r="E87" s="8">
        <v>-1.5707963267949001</v>
      </c>
      <c r="F87" s="7"/>
      <c r="G87" s="10">
        <v>42.351791360400803</v>
      </c>
      <c r="H87" s="10">
        <v>26.317023086317299</v>
      </c>
      <c r="I87" s="10">
        <v>-1.6897135771349301</v>
      </c>
      <c r="K87" s="10">
        <v>42.317638497377402</v>
      </c>
      <c r="L87" s="10">
        <v>28.714301759587698</v>
      </c>
      <c r="M87" s="10">
        <v>-1.6897135771349301</v>
      </c>
      <c r="N87" s="13"/>
      <c r="O87" s="10">
        <v>42.665996618040197</v>
      </c>
      <c r="P87" s="10">
        <v>28.671644018004599</v>
      </c>
      <c r="Q87" s="10">
        <v>-1.6975983138094599</v>
      </c>
      <c r="R87" s="13"/>
      <c r="S87" s="8">
        <v>-1.5707963267949001</v>
      </c>
      <c r="T87" s="13"/>
      <c r="U87" s="13">
        <f t="shared" si="10"/>
        <v>0</v>
      </c>
      <c r="V87" s="13">
        <f t="shared" si="11"/>
        <v>-6.8134565557843718</v>
      </c>
      <c r="W87" s="13">
        <f t="shared" si="12"/>
        <v>-6.8134565557843718</v>
      </c>
      <c r="X87" s="13">
        <f t="shared" si="13"/>
        <v>-7.2652186898069457</v>
      </c>
      <c r="Y87" s="13"/>
      <c r="Z87" s="13"/>
      <c r="AB87" t="str">
        <f t="shared" si="14"/>
        <v>40.4150943396227,27.4920174165457</v>
      </c>
      <c r="AC87" t="str">
        <f t="shared" si="15"/>
        <v>42.3517913604008,26.3170230863173</v>
      </c>
      <c r="AD87" t="str">
        <f t="shared" si="16"/>
        <v>42.3176384973774,28.7143017595877</v>
      </c>
      <c r="AE87" t="str">
        <f t="shared" si="17"/>
        <v>42.6659966180402,28.6716440180046</v>
      </c>
    </row>
    <row r="88" spans="2:31" x14ac:dyDescent="0.2">
      <c r="B88" s="3">
        <v>86</v>
      </c>
      <c r="C88" s="6">
        <v>40.415094339622698</v>
      </c>
      <c r="D88" s="6">
        <v>28.461248185776501</v>
      </c>
      <c r="E88" s="8">
        <v>-1.5707963267949001</v>
      </c>
      <c r="F88" s="7"/>
      <c r="G88" s="10">
        <v>42.466778159926697</v>
      </c>
      <c r="H88" s="10">
        <v>27.279408830163501</v>
      </c>
      <c r="I88" s="10">
        <v>-1.44570911294881</v>
      </c>
      <c r="K88" s="10">
        <v>42.432625296903304</v>
      </c>
      <c r="L88" s="10">
        <v>29.6766875034339</v>
      </c>
      <c r="M88" s="10">
        <v>-1.44570911294881</v>
      </c>
      <c r="N88" s="13"/>
      <c r="O88" s="10">
        <v>42.788567922818203</v>
      </c>
      <c r="P88" s="10">
        <v>29.633093215450099</v>
      </c>
      <c r="Q88" s="10">
        <v>-1.4280086202929001</v>
      </c>
      <c r="R88" s="13"/>
      <c r="S88" s="8">
        <v>-1.5707963267949001</v>
      </c>
      <c r="T88" s="13"/>
      <c r="U88" s="13">
        <f t="shared" si="10"/>
        <v>0</v>
      </c>
      <c r="V88" s="13">
        <f t="shared" si="11"/>
        <v>7.1669694244313575</v>
      </c>
      <c r="W88" s="13">
        <f t="shared" si="12"/>
        <v>7.1669694244313575</v>
      </c>
      <c r="X88" s="13">
        <f t="shared" si="13"/>
        <v>8.1811329489173037</v>
      </c>
      <c r="Y88" s="13"/>
      <c r="Z88" s="13"/>
      <c r="AB88" t="str">
        <f t="shared" si="14"/>
        <v>40.4150943396227,28.4612481857765</v>
      </c>
      <c r="AC88" t="str">
        <f t="shared" si="15"/>
        <v>42.4667781599267,27.2794088301635</v>
      </c>
      <c r="AD88" t="str">
        <f t="shared" si="16"/>
        <v>42.4326252969033,29.6766875034339</v>
      </c>
      <c r="AE88" t="str">
        <f t="shared" si="17"/>
        <v>42.7885679228182,29.6330932154501</v>
      </c>
    </row>
    <row r="89" spans="2:31" x14ac:dyDescent="0.2">
      <c r="B89" s="3">
        <v>87</v>
      </c>
      <c r="C89" s="6">
        <v>40.415094339622698</v>
      </c>
      <c r="D89" s="6">
        <v>29.430478955007299</v>
      </c>
      <c r="E89" s="8">
        <v>-1.5707963267949001</v>
      </c>
      <c r="F89" s="7"/>
      <c r="G89" s="10">
        <v>42.345855701834502</v>
      </c>
      <c r="H89" s="10">
        <v>28.241066795945901</v>
      </c>
      <c r="I89" s="10">
        <v>-1.7078387036081899</v>
      </c>
      <c r="K89" s="10">
        <v>42.311702838811101</v>
      </c>
      <c r="L89" s="10">
        <v>30.638345469216201</v>
      </c>
      <c r="M89" s="10">
        <v>-1.7078387036081899</v>
      </c>
      <c r="N89" s="13"/>
      <c r="O89" s="10">
        <v>42.6506434762534</v>
      </c>
      <c r="P89" s="10">
        <v>30.592460262551199</v>
      </c>
      <c r="Q89" s="10">
        <v>-1.72547508193136</v>
      </c>
      <c r="R89" s="13"/>
      <c r="S89" s="8">
        <v>-1.5707963267949001</v>
      </c>
      <c r="T89" s="13"/>
      <c r="U89" s="13">
        <f t="shared" si="10"/>
        <v>0</v>
      </c>
      <c r="V89" s="13">
        <f t="shared" si="11"/>
        <v>-7.8519498058429971</v>
      </c>
      <c r="W89" s="13">
        <f t="shared" si="12"/>
        <v>-7.8519498058429971</v>
      </c>
      <c r="X89" s="13">
        <f t="shared" si="13"/>
        <v>-8.8624398496566563</v>
      </c>
      <c r="Y89" s="13"/>
      <c r="Z89" s="13"/>
      <c r="AB89" t="str">
        <f t="shared" si="14"/>
        <v>40.4150943396227,29.4304789550073</v>
      </c>
      <c r="AC89" t="str">
        <f t="shared" si="15"/>
        <v>42.3458557018345,28.2410667959459</v>
      </c>
      <c r="AD89" t="str">
        <f t="shared" si="16"/>
        <v>42.3117028388111,30.6383454692162</v>
      </c>
      <c r="AE89" t="str">
        <f t="shared" si="17"/>
        <v>42.6506434762534,30.5924602625512</v>
      </c>
    </row>
    <row r="90" spans="2:31" x14ac:dyDescent="0.2">
      <c r="B90" s="3">
        <v>88</v>
      </c>
      <c r="C90" s="6">
        <v>40.415094339622698</v>
      </c>
      <c r="D90" s="6">
        <v>30.399709724238001</v>
      </c>
      <c r="E90" s="8">
        <v>-1.5707963267949001</v>
      </c>
      <c r="F90" s="7"/>
      <c r="G90" s="10">
        <v>42.478266022389697</v>
      </c>
      <c r="H90" s="10">
        <v>29.201210426364799</v>
      </c>
      <c r="I90" s="10">
        <v>-1.7078387036081899</v>
      </c>
      <c r="K90" s="10">
        <v>42.444113159366303</v>
      </c>
      <c r="L90" s="10">
        <v>31.598489099635199</v>
      </c>
      <c r="M90" s="10">
        <v>-1.71170931045618</v>
      </c>
      <c r="N90" s="13"/>
      <c r="O90" s="10">
        <v>42.799965783256198</v>
      </c>
      <c r="P90" s="10">
        <v>31.550119456970101</v>
      </c>
      <c r="Q90" s="10">
        <v>-1.7425255046788399</v>
      </c>
      <c r="R90" s="13"/>
      <c r="S90" s="8">
        <v>-1.5707963267949001</v>
      </c>
      <c r="T90" s="13"/>
      <c r="U90" s="13">
        <f t="shared" si="10"/>
        <v>0</v>
      </c>
      <c r="V90" s="13">
        <f t="shared" si="11"/>
        <v>-7.8519498058429971</v>
      </c>
      <c r="W90" s="13">
        <f t="shared" si="12"/>
        <v>-8.0737192423872646</v>
      </c>
      <c r="X90" s="13">
        <f t="shared" si="13"/>
        <v>-9.8393571120011085</v>
      </c>
      <c r="Y90" s="13"/>
      <c r="Z90" s="13"/>
      <c r="AB90" t="str">
        <f t="shared" si="14"/>
        <v>40.4150943396227,30.399709724238</v>
      </c>
      <c r="AC90" t="str">
        <f t="shared" si="15"/>
        <v>42.4782660223897,29.2012104263648</v>
      </c>
      <c r="AD90" t="str">
        <f t="shared" si="16"/>
        <v>42.4441131593663,31.5984890996352</v>
      </c>
      <c r="AE90" t="str">
        <f t="shared" si="17"/>
        <v>42.7999657832562,31.5501194569701</v>
      </c>
    </row>
    <row r="91" spans="2:31" x14ac:dyDescent="0.2">
      <c r="B91" s="3">
        <v>89</v>
      </c>
      <c r="C91" s="6">
        <v>40.415094339622698</v>
      </c>
      <c r="D91" s="6">
        <v>31.368940493468799</v>
      </c>
      <c r="E91" s="8">
        <v>-1.5707963267949001</v>
      </c>
      <c r="F91" s="7"/>
      <c r="G91" s="10">
        <v>42.610676342944998</v>
      </c>
      <c r="H91" s="10">
        <v>30.1613540567838</v>
      </c>
      <c r="I91" s="10">
        <v>-1.71170931045618</v>
      </c>
      <c r="K91" s="10">
        <v>42.580238817295204</v>
      </c>
      <c r="L91" s="10">
        <v>32.558113030806702</v>
      </c>
      <c r="M91" s="10">
        <v>-1.6329602416512601</v>
      </c>
      <c r="N91" s="13"/>
      <c r="O91" s="10">
        <v>42.9655940884874</v>
      </c>
      <c r="P91" s="10">
        <v>32.505093565797097</v>
      </c>
      <c r="Q91" s="10">
        <v>-1.66188037371785</v>
      </c>
      <c r="R91" s="13"/>
      <c r="S91" s="8">
        <v>-1.5707963267949001</v>
      </c>
      <c r="T91" s="13"/>
      <c r="U91" s="13">
        <f t="shared" si="10"/>
        <v>0</v>
      </c>
      <c r="V91" s="13">
        <f t="shared" si="11"/>
        <v>-8.0737192423872646</v>
      </c>
      <c r="W91" s="13">
        <f t="shared" si="12"/>
        <v>-3.5617299592800236</v>
      </c>
      <c r="X91" s="13">
        <f t="shared" si="13"/>
        <v>-5.2187314696565821</v>
      </c>
      <c r="Y91" s="13"/>
      <c r="Z91" s="13"/>
      <c r="AB91" t="str">
        <f t="shared" si="14"/>
        <v>40.4150943396227,31.3689404934688</v>
      </c>
      <c r="AC91" t="str">
        <f t="shared" si="15"/>
        <v>42.610676342945,30.1613540567838</v>
      </c>
      <c r="AD91" t="str">
        <f t="shared" si="16"/>
        <v>42.5802388172952,32.5581130308067</v>
      </c>
      <c r="AE91" t="str">
        <f t="shared" si="17"/>
        <v>42.9655940884874,32.5050935657971</v>
      </c>
    </row>
    <row r="92" spans="2:31" x14ac:dyDescent="0.2">
      <c r="B92" s="3">
        <v>90</v>
      </c>
      <c r="C92" s="6">
        <v>40.415094339622698</v>
      </c>
      <c r="D92" s="6">
        <v>32.338171262699603</v>
      </c>
      <c r="E92" s="8">
        <v>-1.5707963267949001</v>
      </c>
      <c r="F92" s="7"/>
      <c r="G92" s="10">
        <v>42.746802000873899</v>
      </c>
      <c r="H92" s="10">
        <v>31.1209779879553</v>
      </c>
      <c r="I92" s="10">
        <v>-1.6329602416512601</v>
      </c>
      <c r="K92" s="10">
        <v>42.640451198509901</v>
      </c>
      <c r="L92" s="10">
        <v>33.525471678450998</v>
      </c>
      <c r="M92" s="10">
        <v>-1.5483253534643</v>
      </c>
      <c r="N92" s="13"/>
      <c r="O92" s="10">
        <v>43.053753531676698</v>
      </c>
      <c r="P92" s="10">
        <v>33.4703065975161</v>
      </c>
      <c r="Q92" s="10">
        <v>-1.5424252214373699</v>
      </c>
      <c r="R92" s="13"/>
      <c r="S92" s="8">
        <v>-1.5707963267949001</v>
      </c>
      <c r="T92" s="13"/>
      <c r="U92" s="13">
        <f t="shared" si="10"/>
        <v>0</v>
      </c>
      <c r="V92" s="13">
        <f t="shared" si="11"/>
        <v>-3.5617299592800236</v>
      </c>
      <c r="W92" s="13">
        <f t="shared" si="12"/>
        <v>1.287491933394417</v>
      </c>
      <c r="X92" s="13">
        <f t="shared" si="13"/>
        <v>1.6255445971074778</v>
      </c>
      <c r="Y92" s="13"/>
      <c r="Z92" s="13"/>
      <c r="AB92" t="str">
        <f t="shared" si="14"/>
        <v>40.4150943396227,32.3381712626996</v>
      </c>
      <c r="AC92" t="str">
        <f t="shared" si="15"/>
        <v>42.7468020008739,31.1209779879553</v>
      </c>
      <c r="AD92" t="str">
        <f t="shared" si="16"/>
        <v>42.6404511985099,33.525471678451</v>
      </c>
      <c r="AE92" t="str">
        <f t="shared" si="17"/>
        <v>43.0537535316767,33.4703065975161</v>
      </c>
    </row>
    <row r="93" spans="2:31" x14ac:dyDescent="0.2">
      <c r="B93" s="3">
        <v>91</v>
      </c>
      <c r="C93" s="6">
        <v>40.415094339622698</v>
      </c>
      <c r="D93" s="6">
        <v>33.307402031930302</v>
      </c>
      <c r="E93" s="8">
        <v>-1.5707963267949001</v>
      </c>
      <c r="F93" s="7"/>
      <c r="G93" s="10">
        <v>42.807014382088603</v>
      </c>
      <c r="H93" s="10">
        <v>32.088336635599603</v>
      </c>
      <c r="I93" s="10">
        <v>-1.69717576775021</v>
      </c>
      <c r="K93" s="10">
        <v>42.618673472608997</v>
      </c>
      <c r="L93" s="10">
        <v>34.494457754036297</v>
      </c>
      <c r="M93" s="10">
        <v>-1.69717576775021</v>
      </c>
      <c r="N93" s="13"/>
      <c r="O93" s="10">
        <v>43.026259072225102</v>
      </c>
      <c r="P93" s="10">
        <v>34.439147316480302</v>
      </c>
      <c r="Q93" s="10">
        <v>-1.71566082305492</v>
      </c>
      <c r="R93" s="13"/>
      <c r="S93" s="8">
        <v>-1.5707963267949001</v>
      </c>
      <c r="T93" s="13"/>
      <c r="U93" s="13">
        <f t="shared" si="10"/>
        <v>0</v>
      </c>
      <c r="V93" s="13">
        <f t="shared" si="11"/>
        <v>-7.2410085839620386</v>
      </c>
      <c r="W93" s="13">
        <f t="shared" si="12"/>
        <v>-7.2410085839620386</v>
      </c>
      <c r="X93" s="13">
        <f t="shared" si="13"/>
        <v>-8.3001242369878359</v>
      </c>
      <c r="Y93" s="13"/>
      <c r="Z93" s="13"/>
      <c r="AB93" t="str">
        <f t="shared" si="14"/>
        <v>40.4150943396227,33.3074020319303</v>
      </c>
      <c r="AC93" t="str">
        <f t="shared" si="15"/>
        <v>42.8070143820886,32.0883366355996</v>
      </c>
      <c r="AD93" t="str">
        <f t="shared" si="16"/>
        <v>42.618673472609,34.4944577540363</v>
      </c>
      <c r="AE93" t="str">
        <f t="shared" si="17"/>
        <v>43.0262590722251,34.4391473164803</v>
      </c>
    </row>
    <row r="94" spans="2:31" x14ac:dyDescent="0.2">
      <c r="B94" s="3">
        <v>92</v>
      </c>
      <c r="C94" s="6">
        <v>40.415094339622698</v>
      </c>
      <c r="D94" s="6">
        <v>34.276632801161099</v>
      </c>
      <c r="E94" s="8">
        <v>-1.5707963267949001</v>
      </c>
      <c r="F94" s="7"/>
      <c r="G94" s="10">
        <v>42.929179419366903</v>
      </c>
      <c r="H94" s="10">
        <v>33.049837539234296</v>
      </c>
      <c r="I94" s="10">
        <v>-1.5121884325866699</v>
      </c>
      <c r="K94" s="10">
        <v>42.740838509887297</v>
      </c>
      <c r="L94" s="10">
        <v>35.455958657671097</v>
      </c>
      <c r="M94" s="10">
        <v>-1.5121884325866699</v>
      </c>
      <c r="N94" s="13"/>
      <c r="O94" s="10">
        <v>43.166175623577502</v>
      </c>
      <c r="P94" s="10">
        <v>35.398225854808302</v>
      </c>
      <c r="Q94" s="10">
        <v>-1.5074904330738299</v>
      </c>
      <c r="R94" s="13"/>
      <c r="S94" s="8">
        <v>-1.5707963267949001</v>
      </c>
      <c r="T94" s="13"/>
      <c r="U94" s="13">
        <f t="shared" si="10"/>
        <v>0</v>
      </c>
      <c r="V94" s="13">
        <f t="shared" si="11"/>
        <v>3.3579849842808125</v>
      </c>
      <c r="W94" s="13">
        <f t="shared" si="12"/>
        <v>3.3579849842808125</v>
      </c>
      <c r="X94" s="13">
        <f t="shared" si="13"/>
        <v>3.6271605285210611</v>
      </c>
      <c r="Y94" s="13"/>
      <c r="Z94" s="13"/>
      <c r="AB94" t="str">
        <f t="shared" si="14"/>
        <v>40.4150943396227,34.2766328011611</v>
      </c>
      <c r="AC94" t="str">
        <f t="shared" si="15"/>
        <v>42.9291794193669,33.0498375392343</v>
      </c>
      <c r="AD94" t="str">
        <f t="shared" si="16"/>
        <v>42.7408385098873,35.4559586576711</v>
      </c>
      <c r="AE94" t="str">
        <f t="shared" si="17"/>
        <v>43.1661756235775,35.3982258548083</v>
      </c>
    </row>
    <row r="95" spans="2:31" x14ac:dyDescent="0.2">
      <c r="B95" s="3">
        <v>93</v>
      </c>
      <c r="C95" s="6">
        <v>40.415094339622698</v>
      </c>
      <c r="D95" s="6">
        <v>35.245863570391897</v>
      </c>
      <c r="E95" s="8">
        <v>-1.5707963267949001</v>
      </c>
      <c r="F95" s="7"/>
      <c r="G95" s="10">
        <v>42.872407358928498</v>
      </c>
      <c r="H95" s="10">
        <v>34.0174041866428</v>
      </c>
      <c r="I95" s="10">
        <v>-1.7276496031433199</v>
      </c>
      <c r="K95" s="10">
        <v>42.684066449448899</v>
      </c>
      <c r="L95" s="10">
        <v>36.423525305079501</v>
      </c>
      <c r="M95" s="10">
        <v>-1.7276496031433199</v>
      </c>
      <c r="N95" s="13"/>
      <c r="O95" s="10">
        <v>43.104858578734699</v>
      </c>
      <c r="P95" s="10">
        <v>36.365515110426998</v>
      </c>
      <c r="Q95" s="10">
        <v>-1.7512581822477</v>
      </c>
      <c r="R95" s="13"/>
      <c r="S95" s="8">
        <v>-1.5707963267949001</v>
      </c>
      <c r="T95" s="13"/>
      <c r="U95" s="13">
        <f t="shared" si="10"/>
        <v>0</v>
      </c>
      <c r="V95" s="13">
        <f t="shared" si="11"/>
        <v>-8.9870307375636322</v>
      </c>
      <c r="W95" s="13">
        <f t="shared" si="12"/>
        <v>-8.9870307375636322</v>
      </c>
      <c r="X95" s="13">
        <f t="shared" si="13"/>
        <v>-10.339702680545356</v>
      </c>
      <c r="Y95" s="13"/>
      <c r="Z95" s="13"/>
      <c r="AB95" t="str">
        <f t="shared" si="14"/>
        <v>40.4150943396227,35.2458635703919</v>
      </c>
      <c r="AC95" t="str">
        <f t="shared" si="15"/>
        <v>42.8724073589285,34.0174041866428</v>
      </c>
      <c r="AD95" t="str">
        <f t="shared" si="16"/>
        <v>42.6840664494489,36.4235253050795</v>
      </c>
      <c r="AE95" t="str">
        <f t="shared" si="17"/>
        <v>43.1048585787347,36.365515110427</v>
      </c>
    </row>
    <row r="96" spans="2:31" x14ac:dyDescent="0.2">
      <c r="B96" s="3">
        <v>94</v>
      </c>
      <c r="C96" s="6">
        <v>40.415094339622698</v>
      </c>
      <c r="D96" s="6">
        <v>36.215094339622603</v>
      </c>
      <c r="E96" s="8">
        <v>-1.5707963267949001</v>
      </c>
      <c r="F96" s="7"/>
      <c r="G96" s="10">
        <v>43.023811761483898</v>
      </c>
      <c r="H96" s="10">
        <v>34.974736412628403</v>
      </c>
      <c r="I96" s="10">
        <v>-1.521460445053</v>
      </c>
      <c r="K96" s="10">
        <v>42.835470852004299</v>
      </c>
      <c r="L96" s="10">
        <v>37.380857531065097</v>
      </c>
      <c r="M96" s="10">
        <v>-1.521460445053</v>
      </c>
      <c r="N96" s="13"/>
      <c r="O96" s="10">
        <v>43.278819943612199</v>
      </c>
      <c r="P96" s="10">
        <v>37.319006446283602</v>
      </c>
      <c r="Q96" s="10">
        <v>-1.51573426859856</v>
      </c>
      <c r="R96" s="13"/>
      <c r="S96" s="8">
        <v>-1.5707963267949001</v>
      </c>
      <c r="T96" s="13"/>
      <c r="U96" s="13">
        <f t="shared" si="10"/>
        <v>0</v>
      </c>
      <c r="V96" s="13">
        <f t="shared" si="11"/>
        <v>2.8267378023674099</v>
      </c>
      <c r="W96" s="13">
        <f t="shared" si="12"/>
        <v>2.8267378023674099</v>
      </c>
      <c r="X96" s="13">
        <f t="shared" si="13"/>
        <v>3.1548235459540117</v>
      </c>
      <c r="Y96" s="13"/>
      <c r="Z96" s="13"/>
      <c r="AB96" t="str">
        <f t="shared" si="14"/>
        <v>40.4150943396227,36.2150943396226</v>
      </c>
      <c r="AC96" t="str">
        <f t="shared" si="15"/>
        <v>43.0238117614839,34.9747364126284</v>
      </c>
      <c r="AD96" t="str">
        <f t="shared" si="16"/>
        <v>42.8354708520043,37.3808575310651</v>
      </c>
      <c r="AE96" t="str">
        <f t="shared" si="17"/>
        <v>43.2788199436122,37.3190064462836</v>
      </c>
    </row>
    <row r="97" spans="2:31" x14ac:dyDescent="0.2">
      <c r="B97" s="3">
        <v>95</v>
      </c>
      <c r="C97" s="6">
        <v>40.415094339622698</v>
      </c>
      <c r="D97" s="6">
        <v>37.1843251088534</v>
      </c>
      <c r="E97" s="8">
        <v>-1.5707963267949001</v>
      </c>
      <c r="F97" s="7"/>
      <c r="G97" s="10">
        <v>42.976013302854497</v>
      </c>
      <c r="H97" s="10">
        <v>35.942787853088198</v>
      </c>
      <c r="I97" s="10">
        <v>-1.7228941980694401</v>
      </c>
      <c r="K97" s="10">
        <v>42.787672393374898</v>
      </c>
      <c r="L97" s="10">
        <v>38.348908971524899</v>
      </c>
      <c r="M97" s="10">
        <v>-1.7228941980694401</v>
      </c>
      <c r="N97" s="13"/>
      <c r="O97" s="10">
        <v>43.225479065542601</v>
      </c>
      <c r="P97" s="10">
        <v>38.286768315107999</v>
      </c>
      <c r="Q97" s="10">
        <v>-1.7476179350177501</v>
      </c>
      <c r="R97" s="13"/>
      <c r="S97" s="8">
        <v>-1.5707963267949001</v>
      </c>
      <c r="T97" s="13"/>
      <c r="U97" s="13">
        <f t="shared" si="10"/>
        <v>0</v>
      </c>
      <c r="V97" s="13">
        <f t="shared" si="11"/>
        <v>-8.7145660969552203</v>
      </c>
      <c r="W97" s="13">
        <f t="shared" si="12"/>
        <v>-8.7145660969552203</v>
      </c>
      <c r="X97" s="13">
        <f t="shared" si="13"/>
        <v>-10.131131877885037</v>
      </c>
      <c r="Y97" s="13"/>
      <c r="Z97" s="13"/>
      <c r="AB97" t="str">
        <f t="shared" si="14"/>
        <v>40.4150943396227,37.1843251088534</v>
      </c>
      <c r="AC97" t="str">
        <f t="shared" si="15"/>
        <v>42.9760133028545,35.9427878530882</v>
      </c>
      <c r="AD97" t="str">
        <f t="shared" si="16"/>
        <v>42.7876723933749,38.3489089715249</v>
      </c>
      <c r="AE97" t="str">
        <f t="shared" si="17"/>
        <v>43.2254790655426,38.286768315108</v>
      </c>
    </row>
    <row r="98" spans="2:31" x14ac:dyDescent="0.2">
      <c r="B98" s="3">
        <v>96</v>
      </c>
      <c r="C98" s="6">
        <v>40.415094339622698</v>
      </c>
      <c r="D98" s="6">
        <v>38.153555878084198</v>
      </c>
      <c r="E98" s="8">
        <v>-1.5707963267949001</v>
      </c>
      <c r="F98" s="7"/>
      <c r="G98" s="10">
        <v>43.122863508126301</v>
      </c>
      <c r="H98" s="10">
        <v>36.900829241147797</v>
      </c>
      <c r="I98" s="10">
        <v>-1.5253245808343801</v>
      </c>
      <c r="K98" s="10">
        <v>42.934522598646701</v>
      </c>
      <c r="L98" s="10">
        <v>39.306950359584597</v>
      </c>
      <c r="M98" s="10">
        <v>-1.5253245808343801</v>
      </c>
      <c r="N98" s="13"/>
      <c r="O98" s="10">
        <v>43.395968341277197</v>
      </c>
      <c r="P98" s="10">
        <v>39.240886594402099</v>
      </c>
      <c r="Q98" s="10">
        <v>-1.5394612882722301</v>
      </c>
      <c r="R98" s="13"/>
      <c r="S98" s="8">
        <v>-1.5707963267949001</v>
      </c>
      <c r="T98" s="13"/>
      <c r="U98" s="13">
        <f t="shared" si="10"/>
        <v>0</v>
      </c>
      <c r="V98" s="13">
        <f t="shared" si="11"/>
        <v>2.6053391306288494</v>
      </c>
      <c r="W98" s="13">
        <f t="shared" si="12"/>
        <v>2.6053391306288494</v>
      </c>
      <c r="X98" s="13">
        <f t="shared" si="13"/>
        <v>1.7953654582288443</v>
      </c>
      <c r="Y98" s="13"/>
      <c r="Z98" s="13"/>
      <c r="AB98" t="str">
        <f t="shared" si="14"/>
        <v>40.4150943396227,38.1535558780842</v>
      </c>
      <c r="AC98" t="str">
        <f t="shared" si="15"/>
        <v>43.1228635081263,36.9008292411478</v>
      </c>
      <c r="AD98" t="str">
        <f t="shared" si="16"/>
        <v>42.9345225986467,39.3069503595846</v>
      </c>
      <c r="AE98" t="str">
        <f t="shared" si="17"/>
        <v>43.3959683412772,39.2408865944021</v>
      </c>
    </row>
    <row r="99" spans="2:31" x14ac:dyDescent="0.2">
      <c r="B99" s="3">
        <v>97</v>
      </c>
      <c r="C99" s="6">
        <v>40.415094339622698</v>
      </c>
      <c r="D99" s="6">
        <v>39.122786647315003</v>
      </c>
      <c r="E99" s="8">
        <v>-1.5707963267949001</v>
      </c>
      <c r="F99" s="7"/>
      <c r="G99" s="10">
        <v>43.078806079249198</v>
      </c>
      <c r="H99" s="10">
        <v>37.869058153639301</v>
      </c>
      <c r="I99" s="10">
        <v>-1.7476635725321299</v>
      </c>
      <c r="K99" s="10">
        <v>42.890465169769598</v>
      </c>
      <c r="L99" s="10">
        <v>40.275179272076002</v>
      </c>
      <c r="M99" s="10">
        <v>-1.7476635725321299</v>
      </c>
      <c r="N99" s="13"/>
      <c r="O99" s="10">
        <v>43.365602427659297</v>
      </c>
      <c r="P99" s="10">
        <v>40.209641566164201</v>
      </c>
      <c r="Q99" s="10">
        <v>-1.78915467789783</v>
      </c>
      <c r="R99" s="13"/>
      <c r="S99" s="8">
        <v>-1.5707963267949001</v>
      </c>
      <c r="T99" s="13"/>
      <c r="U99" s="13">
        <f t="shared" si="10"/>
        <v>0</v>
      </c>
      <c r="V99" s="13">
        <f t="shared" si="11"/>
        <v>-10.133746714846467</v>
      </c>
      <c r="W99" s="13">
        <f t="shared" si="12"/>
        <v>-10.133746714846467</v>
      </c>
      <c r="X99" s="13">
        <f t="shared" si="13"/>
        <v>-12.511011939633686</v>
      </c>
      <c r="Y99" s="13"/>
      <c r="Z99" s="13"/>
      <c r="AB99" t="str">
        <f t="shared" si="14"/>
        <v>40.4150943396227,39.122786647315</v>
      </c>
      <c r="AC99" t="str">
        <f t="shared" si="15"/>
        <v>43.0788060792492,37.8690581536393</v>
      </c>
      <c r="AD99" t="str">
        <f t="shared" si="16"/>
        <v>42.8904651697696,40.275179272076</v>
      </c>
      <c r="AE99" t="str">
        <f t="shared" si="17"/>
        <v>43.3656024276593,40.2096415661642</v>
      </c>
    </row>
    <row r="100" spans="2:31" x14ac:dyDescent="0.2">
      <c r="B100" s="3">
        <v>98</v>
      </c>
      <c r="C100" s="6">
        <v>40.415094339622698</v>
      </c>
      <c r="D100" s="6">
        <v>40.092017416545701</v>
      </c>
      <c r="E100" s="8">
        <v>-1.5707963267949001</v>
      </c>
      <c r="F100" s="7"/>
      <c r="G100" s="10">
        <v>43.249338898392899</v>
      </c>
      <c r="H100" s="10">
        <v>38.823168651232997</v>
      </c>
      <c r="I100" s="10">
        <v>-1.7476635725321299</v>
      </c>
      <c r="K100" s="10">
        <v>43.0609979889133</v>
      </c>
      <c r="L100" s="10">
        <v>41.229289769669798</v>
      </c>
      <c r="M100" s="10">
        <v>-1.6994732509314401</v>
      </c>
      <c r="N100" s="13"/>
      <c r="O100" s="10">
        <v>43.575564222614801</v>
      </c>
      <c r="P100" s="10">
        <v>41.155857360094302</v>
      </c>
      <c r="Q100" s="10">
        <v>-1.7044809581532301</v>
      </c>
      <c r="R100" s="13"/>
      <c r="S100" s="8">
        <v>-1.5707963267949001</v>
      </c>
      <c r="T100" s="13"/>
      <c r="U100" s="13">
        <f t="shared" si="10"/>
        <v>0</v>
      </c>
      <c r="V100" s="13">
        <f t="shared" si="11"/>
        <v>-10.133746714846467</v>
      </c>
      <c r="W100" s="13">
        <f t="shared" si="12"/>
        <v>-7.3726446737488152</v>
      </c>
      <c r="X100" s="13">
        <f t="shared" si="13"/>
        <v>-7.6595651625945651</v>
      </c>
      <c r="Y100" s="13"/>
      <c r="Z100" s="13"/>
      <c r="AB100" t="str">
        <f t="shared" si="14"/>
        <v>40.4150943396227,40.0920174165457</v>
      </c>
      <c r="AC100" t="str">
        <f t="shared" si="15"/>
        <v>43.2493388983929,38.823168651233</v>
      </c>
      <c r="AD100" t="str">
        <f t="shared" si="16"/>
        <v>43.0609979889133,41.2292897696698</v>
      </c>
      <c r="AE100" t="str">
        <f t="shared" si="17"/>
        <v>43.5755642226148,41.1558573600943</v>
      </c>
    </row>
    <row r="101" spans="2:31" x14ac:dyDescent="0.2">
      <c r="B101" s="3">
        <v>99</v>
      </c>
      <c r="C101" s="6">
        <v>40.415094339622698</v>
      </c>
      <c r="D101" s="6">
        <v>41.061248185776499</v>
      </c>
      <c r="E101" s="8">
        <v>-1.5707963267949001</v>
      </c>
      <c r="F101" s="7"/>
      <c r="G101" s="10">
        <v>43.419871717536601</v>
      </c>
      <c r="H101" s="10">
        <v>39.7772791488268</v>
      </c>
      <c r="I101" s="10">
        <v>-1.6994732509314401</v>
      </c>
      <c r="K101" s="10">
        <v>43.185371733983501</v>
      </c>
      <c r="L101" s="10">
        <v>42.190507463826997</v>
      </c>
      <c r="M101" s="10">
        <v>-1.7750777965623701</v>
      </c>
      <c r="N101" s="13"/>
      <c r="O101" s="10">
        <v>43.704749884890497</v>
      </c>
      <c r="P101" s="10">
        <v>42.116440177287103</v>
      </c>
      <c r="Q101" s="10">
        <v>-1.8137509283092299</v>
      </c>
      <c r="R101" s="13"/>
      <c r="S101" s="8">
        <v>-1.5707963267949001</v>
      </c>
      <c r="T101" s="13"/>
      <c r="U101" s="13">
        <f t="shared" si="10"/>
        <v>0</v>
      </c>
      <c r="V101" s="13">
        <f t="shared" si="11"/>
        <v>-7.3726446737488152</v>
      </c>
      <c r="W101" s="13">
        <f t="shared" si="12"/>
        <v>-11.704466050405353</v>
      </c>
      <c r="X101" s="13">
        <f t="shared" si="13"/>
        <v>-13.920273280053816</v>
      </c>
      <c r="Y101" s="13"/>
      <c r="Z101" s="13"/>
      <c r="AB101" t="str">
        <f t="shared" si="14"/>
        <v>40.4150943396227,41.0612481857765</v>
      </c>
      <c r="AC101" t="str">
        <f t="shared" si="15"/>
        <v>43.4198717175366,39.7772791488268</v>
      </c>
      <c r="AD101" t="str">
        <f t="shared" si="16"/>
        <v>43.1853717339835,42.190507463827</v>
      </c>
      <c r="AE101" t="str">
        <f t="shared" si="17"/>
        <v>43.7047498848905,42.1164401772871</v>
      </c>
    </row>
    <row r="102" spans="2:31" x14ac:dyDescent="0.2">
      <c r="B102" s="3">
        <v>100</v>
      </c>
      <c r="C102" s="6">
        <v>40.415094339622698</v>
      </c>
      <c r="D102" s="6">
        <v>42.030478955007297</v>
      </c>
      <c r="E102" s="8">
        <v>-1.5707963267949001</v>
      </c>
      <c r="F102" s="7"/>
      <c r="G102" s="10">
        <v>43.544245462606803</v>
      </c>
      <c r="H102" s="10">
        <v>40.738496842983999</v>
      </c>
      <c r="I102" s="10">
        <v>-1.53223696051156</v>
      </c>
      <c r="K102" s="10">
        <v>43.381993398867202</v>
      </c>
      <c r="L102" s="10">
        <v>43.139585018572603</v>
      </c>
      <c r="M102" s="10">
        <v>-1.53223696051156</v>
      </c>
      <c r="N102" s="13"/>
      <c r="O102" s="10">
        <v>43.937919186219297</v>
      </c>
      <c r="P102" s="10">
        <v>43.057206014752303</v>
      </c>
      <c r="Q102" s="10">
        <v>-1.5355962481496701</v>
      </c>
      <c r="R102" s="13"/>
      <c r="S102" s="8">
        <v>-1.5707963267949001</v>
      </c>
      <c r="T102" s="13"/>
      <c r="U102" s="13">
        <f t="shared" si="10"/>
        <v>0</v>
      </c>
      <c r="V102" s="13">
        <f t="shared" si="11"/>
        <v>2.2092889487344358</v>
      </c>
      <c r="W102" s="13">
        <f t="shared" si="12"/>
        <v>2.2092889487344358</v>
      </c>
      <c r="X102" s="13">
        <f t="shared" si="13"/>
        <v>2.0168159449002561</v>
      </c>
      <c r="Y102" s="13"/>
      <c r="Z102" s="13"/>
      <c r="AB102" t="str">
        <f t="shared" si="14"/>
        <v>40.4150943396227,42.0304789550073</v>
      </c>
      <c r="AC102" t="str">
        <f t="shared" si="15"/>
        <v>43.5442454626068,40.738496842984</v>
      </c>
      <c r="AD102" t="str">
        <f t="shared" si="16"/>
        <v>43.3819933988672,43.1395850185726</v>
      </c>
      <c r="AE102" t="str">
        <f t="shared" si="17"/>
        <v>43.9379191862193,43.0572060147523</v>
      </c>
    </row>
    <row r="103" spans="2:31" x14ac:dyDescent="0.2">
      <c r="B103" s="3">
        <v>101</v>
      </c>
      <c r="C103" s="6">
        <v>40.415094339622698</v>
      </c>
      <c r="D103" s="6">
        <v>42.999709724238002</v>
      </c>
      <c r="E103" s="8">
        <v>-1.5707963267949001</v>
      </c>
      <c r="F103" s="7"/>
      <c r="G103" s="10">
        <v>43.506881798839203</v>
      </c>
      <c r="H103" s="10">
        <v>41.707007163348997</v>
      </c>
      <c r="I103" s="10">
        <v>-1.7304203482759</v>
      </c>
      <c r="K103" s="10">
        <v>43.344629735099502</v>
      </c>
      <c r="L103" s="10">
        <v>44.108095338937702</v>
      </c>
      <c r="M103" s="10">
        <v>-1.7304203482759</v>
      </c>
      <c r="N103" s="13"/>
      <c r="O103" s="10">
        <v>43.9038092318998</v>
      </c>
      <c r="P103" s="10">
        <v>44.025836385451001</v>
      </c>
      <c r="Q103" s="10">
        <v>-1.7628562822592999</v>
      </c>
      <c r="R103" s="13"/>
      <c r="S103" s="8">
        <v>-1.5707963267949001</v>
      </c>
      <c r="T103" s="13"/>
      <c r="U103" s="13">
        <f t="shared" si="10"/>
        <v>0</v>
      </c>
      <c r="V103" s="13">
        <f t="shared" si="11"/>
        <v>-9.1457827397668847</v>
      </c>
      <c r="W103" s="13">
        <f t="shared" si="12"/>
        <v>-9.1457827397668847</v>
      </c>
      <c r="X103" s="13">
        <f t="shared" si="13"/>
        <v>-11.004224861580662</v>
      </c>
      <c r="Y103" s="13"/>
      <c r="Z103" s="13"/>
      <c r="AB103" t="str">
        <f t="shared" si="14"/>
        <v>40.4150943396227,42.999709724238</v>
      </c>
      <c r="AC103" t="str">
        <f t="shared" si="15"/>
        <v>43.5068817988392,41.707007163349</v>
      </c>
      <c r="AD103" t="str">
        <f t="shared" si="16"/>
        <v>43.3446297350995,44.1080953389377</v>
      </c>
      <c r="AE103" t="str">
        <f t="shared" si="17"/>
        <v>43.9038092318998,44.025836385451</v>
      </c>
    </row>
    <row r="104" spans="2:31" x14ac:dyDescent="0.2">
      <c r="B104" s="3">
        <v>102</v>
      </c>
      <c r="C104" s="6">
        <v>40.415094339622698</v>
      </c>
      <c r="D104" s="6">
        <v>43.9689404934688</v>
      </c>
      <c r="E104" s="8">
        <v>-1.5707963267949001</v>
      </c>
      <c r="F104" s="7"/>
      <c r="G104" s="10">
        <v>43.660938140438603</v>
      </c>
      <c r="H104" s="10">
        <v>42.663916212128797</v>
      </c>
      <c r="I104" s="10">
        <v>-1.7304203482759</v>
      </c>
      <c r="K104" s="10">
        <v>43.498686076698903</v>
      </c>
      <c r="L104" s="10">
        <v>45.065004387717501</v>
      </c>
      <c r="M104" s="10">
        <v>-1.6987651571164</v>
      </c>
      <c r="N104" s="13"/>
      <c r="O104" s="10">
        <v>44.088817336568503</v>
      </c>
      <c r="P104" s="10">
        <v>44.977246016067902</v>
      </c>
      <c r="Q104" s="10">
        <v>-1.7178478635015</v>
      </c>
      <c r="R104" s="13"/>
      <c r="S104" s="8">
        <v>-1.5707963267949001</v>
      </c>
      <c r="T104" s="13"/>
      <c r="U104" s="13">
        <f t="shared" si="10"/>
        <v>0</v>
      </c>
      <c r="V104" s="13">
        <f t="shared" si="11"/>
        <v>-9.1457827397668847</v>
      </c>
      <c r="W104" s="13">
        <f t="shared" si="12"/>
        <v>-7.3320738866476995</v>
      </c>
      <c r="X104" s="13">
        <f t="shared" si="13"/>
        <v>-8.4254324242012792</v>
      </c>
      <c r="Y104" s="13"/>
      <c r="Z104" s="13"/>
      <c r="AB104" t="str">
        <f t="shared" si="14"/>
        <v>40.4150943396227,43.9689404934688</v>
      </c>
      <c r="AC104" t="str">
        <f t="shared" si="15"/>
        <v>43.6609381404386,42.6639162121288</v>
      </c>
      <c r="AD104" t="str">
        <f t="shared" si="16"/>
        <v>43.4986860766989,45.0650043877175</v>
      </c>
      <c r="AE104" t="str">
        <f t="shared" si="17"/>
        <v>44.0888173365685,44.9772460160679</v>
      </c>
    </row>
    <row r="105" spans="2:31" x14ac:dyDescent="0.2">
      <c r="B105" s="3">
        <v>103</v>
      </c>
      <c r="C105" s="6">
        <v>40.415094339622698</v>
      </c>
      <c r="D105" s="6">
        <v>44.938171262699598</v>
      </c>
      <c r="E105" s="8">
        <v>-1.5707963267949001</v>
      </c>
      <c r="F105" s="7"/>
      <c r="G105" s="10">
        <v>43.814994482037903</v>
      </c>
      <c r="H105" s="10">
        <v>43.620825260908603</v>
      </c>
      <c r="I105" s="10">
        <v>-1.6987651571164</v>
      </c>
      <c r="K105" s="10">
        <v>43.622379158341502</v>
      </c>
      <c r="L105" s="10">
        <v>46.026309909171196</v>
      </c>
      <c r="M105" s="10">
        <v>-1.7268295732071699</v>
      </c>
      <c r="N105" s="13"/>
      <c r="O105" s="10">
        <v>44.230831095182999</v>
      </c>
      <c r="P105" s="10">
        <v>45.936016257777503</v>
      </c>
      <c r="Q105" s="10">
        <v>-1.75622912309312</v>
      </c>
      <c r="R105" s="13"/>
      <c r="S105" s="8">
        <v>-1.5707963267949001</v>
      </c>
      <c r="T105" s="13"/>
      <c r="U105" s="13">
        <f t="shared" si="10"/>
        <v>0</v>
      </c>
      <c r="V105" s="13">
        <f t="shared" si="11"/>
        <v>-7.3320738866476995</v>
      </c>
      <c r="W105" s="13">
        <f t="shared" si="12"/>
        <v>-8.940046483147853</v>
      </c>
      <c r="X105" s="13">
        <f t="shared" si="13"/>
        <v>-10.624516611197111</v>
      </c>
      <c r="Y105" s="13"/>
      <c r="Z105" s="13"/>
      <c r="AB105" t="str">
        <f t="shared" si="14"/>
        <v>40.4150943396227,44.9381712626996</v>
      </c>
      <c r="AC105" t="str">
        <f t="shared" si="15"/>
        <v>43.8149944820379,43.6208252609086</v>
      </c>
      <c r="AD105" t="str">
        <f t="shared" si="16"/>
        <v>43.6223791583415,46.0263099091712</v>
      </c>
      <c r="AE105" t="str">
        <f t="shared" si="17"/>
        <v>44.230831095183,45.9360162577775</v>
      </c>
    </row>
    <row r="106" spans="2:31" x14ac:dyDescent="0.2">
      <c r="B106" s="3">
        <v>104</v>
      </c>
      <c r="C106" s="6">
        <v>40.415094339622698</v>
      </c>
      <c r="D106" s="6">
        <v>45.907402031930303</v>
      </c>
      <c r="E106" s="8">
        <v>-1.5707963267949001</v>
      </c>
      <c r="F106" s="7"/>
      <c r="G106" s="10">
        <v>43.938687563680602</v>
      </c>
      <c r="H106" s="10">
        <v>44.582130782362299</v>
      </c>
      <c r="I106" s="10">
        <v>-1.7268295732071699</v>
      </c>
      <c r="K106" s="10">
        <v>43.772998468994999</v>
      </c>
      <c r="L106" s="10">
        <v>46.983765969406797</v>
      </c>
      <c r="M106" s="10">
        <v>-1.6968369456524299</v>
      </c>
      <c r="N106" s="13"/>
      <c r="O106" s="10">
        <v>44.409530040257302</v>
      </c>
      <c r="P106" s="10">
        <v>46.888631065059499</v>
      </c>
      <c r="Q106" s="10">
        <v>-1.7128032754752001</v>
      </c>
      <c r="R106" s="13"/>
      <c r="S106" s="8">
        <v>-1.5707963267949001</v>
      </c>
      <c r="T106" s="13"/>
      <c r="U106" s="13">
        <f t="shared" si="10"/>
        <v>0</v>
      </c>
      <c r="V106" s="13">
        <f t="shared" si="11"/>
        <v>-8.940046483147853</v>
      </c>
      <c r="W106" s="13">
        <f t="shared" si="12"/>
        <v>-7.2215955077534755</v>
      </c>
      <c r="X106" s="13">
        <f t="shared" si="13"/>
        <v>-8.1363988209120635</v>
      </c>
      <c r="Y106" s="13"/>
      <c r="Z106" s="13"/>
      <c r="AB106" t="str">
        <f t="shared" si="14"/>
        <v>40.4150943396227,45.9074020319303</v>
      </c>
      <c r="AC106" t="str">
        <f t="shared" si="15"/>
        <v>43.9386875636806,44.5821307823623</v>
      </c>
      <c r="AD106" t="str">
        <f t="shared" si="16"/>
        <v>43.772998468995,46.9837659694068</v>
      </c>
      <c r="AE106" t="str">
        <f t="shared" si="17"/>
        <v>44.4095300402573,46.8886310650595</v>
      </c>
    </row>
    <row r="107" spans="2:31" x14ac:dyDescent="0.2">
      <c r="B107" s="3">
        <v>105</v>
      </c>
      <c r="C107" s="6">
        <v>40.415094339622698</v>
      </c>
      <c r="D107" s="6">
        <v>46.876632801161101</v>
      </c>
      <c r="E107" s="8">
        <v>-1.5707963267949001</v>
      </c>
      <c r="F107" s="7"/>
      <c r="G107" s="10">
        <v>44.089306874334</v>
      </c>
      <c r="H107" s="10">
        <v>45.539586842597998</v>
      </c>
      <c r="I107" s="10">
        <v>-1.4729685688748899</v>
      </c>
      <c r="K107" s="10">
        <v>43.894837721514001</v>
      </c>
      <c r="L107" s="10">
        <v>47.945308210064603</v>
      </c>
      <c r="M107" s="10">
        <v>-1.4729685688748899</v>
      </c>
      <c r="N107" s="13"/>
      <c r="O107" s="10">
        <v>44.546705411534198</v>
      </c>
      <c r="P107" s="10">
        <v>47.848105505333301</v>
      </c>
      <c r="Q107" s="10">
        <v>-1.4704063839461701</v>
      </c>
      <c r="R107" s="13"/>
      <c r="S107" s="8">
        <v>-1.5707963267949001</v>
      </c>
      <c r="T107" s="13"/>
      <c r="U107" s="13">
        <f t="shared" si="10"/>
        <v>0</v>
      </c>
      <c r="V107" s="13">
        <f t="shared" si="11"/>
        <v>5.6051176480440965</v>
      </c>
      <c r="W107" s="13">
        <f t="shared" si="12"/>
        <v>5.6051176480440965</v>
      </c>
      <c r="X107" s="13">
        <f t="shared" si="13"/>
        <v>5.7519200307917728</v>
      </c>
      <c r="Y107" s="13"/>
      <c r="Z107" s="13"/>
      <c r="AB107" t="str">
        <f t="shared" si="14"/>
        <v>40.4150943396227,46.8766328011611</v>
      </c>
      <c r="AC107" t="str">
        <f t="shared" si="15"/>
        <v>44.089306874334,45.539586842598</v>
      </c>
      <c r="AD107" t="str">
        <f t="shared" si="16"/>
        <v>43.894837721514,47.9453082100646</v>
      </c>
      <c r="AE107" t="str">
        <f t="shared" si="17"/>
        <v>44.5467054115342,47.8481055053333</v>
      </c>
    </row>
    <row r="108" spans="2:31" x14ac:dyDescent="0.2">
      <c r="B108" s="3">
        <v>106</v>
      </c>
      <c r="C108" s="6">
        <v>40.415094339622698</v>
      </c>
      <c r="D108" s="6">
        <v>47.845863570391899</v>
      </c>
      <c r="E108" s="8">
        <v>-1.5707963267949001</v>
      </c>
      <c r="F108" s="7"/>
      <c r="G108" s="10">
        <v>43.9946403673787</v>
      </c>
      <c r="H108" s="10">
        <v>46.504183409295401</v>
      </c>
      <c r="I108" s="10">
        <v>-1.69943755576345</v>
      </c>
      <c r="K108" s="10">
        <v>43.800171214558702</v>
      </c>
      <c r="L108" s="10">
        <v>48.909904776762097</v>
      </c>
      <c r="M108" s="10">
        <v>-1.69943755576345</v>
      </c>
      <c r="N108" s="13"/>
      <c r="O108" s="10">
        <v>44.449567743230297</v>
      </c>
      <c r="P108" s="10">
        <v>48.812456353012799</v>
      </c>
      <c r="Q108" s="10">
        <v>-1.69061129846906</v>
      </c>
      <c r="R108" s="13"/>
      <c r="S108" s="8">
        <v>-1.5707963267949001</v>
      </c>
      <c r="T108" s="13"/>
      <c r="U108" s="13">
        <f t="shared" si="10"/>
        <v>0</v>
      </c>
      <c r="V108" s="13">
        <f t="shared" si="11"/>
        <v>-7.3705994912739738</v>
      </c>
      <c r="W108" s="13">
        <f t="shared" si="12"/>
        <v>-7.3705994912739738</v>
      </c>
      <c r="X108" s="13">
        <f t="shared" si="13"/>
        <v>-6.8648921994088683</v>
      </c>
      <c r="Y108" s="13"/>
      <c r="Z108" s="13"/>
      <c r="AB108" t="str">
        <f t="shared" si="14"/>
        <v>40.4150943396227,47.8458635703919</v>
      </c>
      <c r="AC108" t="str">
        <f t="shared" si="15"/>
        <v>43.9946403673787,46.5041834092954</v>
      </c>
      <c r="AD108" t="str">
        <f t="shared" si="16"/>
        <v>43.8001712145587,48.9099047767621</v>
      </c>
      <c r="AE108" t="str">
        <f t="shared" si="17"/>
        <v>44.4495677432303,48.8124563530128</v>
      </c>
    </row>
    <row r="109" spans="2:31" x14ac:dyDescent="0.2">
      <c r="B109" s="3">
        <v>107</v>
      </c>
      <c r="C109" s="6">
        <v>40.415094339622698</v>
      </c>
      <c r="D109" s="6">
        <v>48.815094339622704</v>
      </c>
      <c r="E109" s="8">
        <v>-1.5707963267949001</v>
      </c>
      <c r="F109" s="7"/>
      <c r="G109" s="10">
        <v>44.118979801542601</v>
      </c>
      <c r="H109" s="10">
        <v>47.465405542382001</v>
      </c>
      <c r="I109" s="10">
        <v>-1.4879943920032701</v>
      </c>
      <c r="K109" s="10">
        <v>43.924510648722602</v>
      </c>
      <c r="L109" s="10">
        <v>49.871126909848698</v>
      </c>
      <c r="M109" s="10">
        <v>-1.4879943920032701</v>
      </c>
      <c r="N109" s="13"/>
      <c r="O109" s="10">
        <v>44.5654184505199</v>
      </c>
      <c r="P109" s="10">
        <v>49.774738482974797</v>
      </c>
      <c r="Q109" s="10">
        <v>-1.5139077344557399</v>
      </c>
      <c r="R109" s="13"/>
      <c r="S109" s="8">
        <v>-1.5707963267949001</v>
      </c>
      <c r="T109" s="13"/>
      <c r="U109" s="13">
        <f t="shared" si="10"/>
        <v>0</v>
      </c>
      <c r="V109" s="13">
        <f t="shared" si="11"/>
        <v>4.7442013990778529</v>
      </c>
      <c r="W109" s="13">
        <f t="shared" si="12"/>
        <v>4.7442013990778529</v>
      </c>
      <c r="X109" s="13">
        <f t="shared" si="13"/>
        <v>3.2594762434741478</v>
      </c>
      <c r="Y109" s="13"/>
      <c r="Z109" s="13"/>
      <c r="AB109" t="str">
        <f t="shared" si="14"/>
        <v>40.4150943396227,48.8150943396227</v>
      </c>
      <c r="AC109" t="str">
        <f t="shared" si="15"/>
        <v>44.1189798015426,47.465405542382</v>
      </c>
      <c r="AD109" t="str">
        <f t="shared" si="16"/>
        <v>43.9245106487226,49.8711269098487</v>
      </c>
      <c r="AE109" t="str">
        <f t="shared" si="17"/>
        <v>44.5654184505199,49.7747384829748</v>
      </c>
    </row>
    <row r="110" spans="2:31" x14ac:dyDescent="0.2">
      <c r="B110" s="3">
        <v>108</v>
      </c>
      <c r="C110" s="6">
        <v>40.415094339622698</v>
      </c>
      <c r="D110" s="6">
        <v>49.784325108853402</v>
      </c>
      <c r="E110" s="8">
        <v>-1.5707963267949001</v>
      </c>
      <c r="F110" s="7"/>
      <c r="G110" s="10">
        <v>44.038817293083603</v>
      </c>
      <c r="H110" s="10">
        <v>48.431315608724198</v>
      </c>
      <c r="I110" s="10">
        <v>-1.7053785543615601</v>
      </c>
      <c r="K110" s="10">
        <v>43.844348140263598</v>
      </c>
      <c r="L110" s="10">
        <v>50.837036976190902</v>
      </c>
      <c r="M110" s="10">
        <v>-1.7053785543615601</v>
      </c>
      <c r="N110" s="13"/>
      <c r="O110" s="10">
        <v>44.510310012316197</v>
      </c>
      <c r="P110" s="10">
        <v>50.742401308582203</v>
      </c>
      <c r="Q110" s="10">
        <v>-1.7195630944253</v>
      </c>
      <c r="R110" s="13"/>
      <c r="S110" s="8">
        <v>-1.5707963267949001</v>
      </c>
      <c r="T110" s="13"/>
      <c r="U110" s="13">
        <f t="shared" si="10"/>
        <v>0</v>
      </c>
      <c r="V110" s="13">
        <f t="shared" si="11"/>
        <v>-7.7109936370388175</v>
      </c>
      <c r="W110" s="13">
        <f t="shared" si="12"/>
        <v>-7.7109936370388175</v>
      </c>
      <c r="X110" s="13">
        <f t="shared" si="13"/>
        <v>-8.5237079170253445</v>
      </c>
      <c r="Y110" s="13"/>
      <c r="Z110" s="13"/>
      <c r="AB110" t="str">
        <f t="shared" si="14"/>
        <v>40.4150943396227,49.7843251088534</v>
      </c>
      <c r="AC110" t="str">
        <f t="shared" si="15"/>
        <v>44.0388172930836,48.4313156087242</v>
      </c>
      <c r="AD110" t="str">
        <f t="shared" si="16"/>
        <v>43.8443481402636,50.8370369761909</v>
      </c>
      <c r="AE110" t="str">
        <f t="shared" si="17"/>
        <v>44.5103100123162,50.7424013085822</v>
      </c>
    </row>
    <row r="111" spans="2:31" x14ac:dyDescent="0.2">
      <c r="B111" s="3">
        <v>109</v>
      </c>
      <c r="C111" s="6">
        <v>40.415094339622698</v>
      </c>
      <c r="D111" s="6">
        <v>50.7535558780842</v>
      </c>
      <c r="E111" s="8">
        <v>-1.5707963267949001</v>
      </c>
      <c r="F111" s="7"/>
      <c r="G111" s="10">
        <v>44.1688651186969</v>
      </c>
      <c r="H111" s="10">
        <v>49.391782082411297</v>
      </c>
      <c r="I111" s="10">
        <v>-1.7053785543615601</v>
      </c>
      <c r="K111" s="10">
        <v>43.974395965876901</v>
      </c>
      <c r="L111" s="10">
        <v>51.797503449878</v>
      </c>
      <c r="M111" s="10">
        <v>-1.7009859162460199</v>
      </c>
      <c r="N111" s="13"/>
      <c r="O111" s="10">
        <v>44.653968073588402</v>
      </c>
      <c r="P111" s="10">
        <v>51.700926553661901</v>
      </c>
      <c r="Q111" s="10">
        <v>-1.72939482820812</v>
      </c>
      <c r="R111" s="13"/>
      <c r="S111" s="8">
        <v>-1.5707963267949001</v>
      </c>
      <c r="T111" s="13"/>
      <c r="U111" s="13">
        <f t="shared" si="10"/>
        <v>0</v>
      </c>
      <c r="V111" s="13">
        <f t="shared" si="11"/>
        <v>-7.7109936370388175</v>
      </c>
      <c r="W111" s="13">
        <f t="shared" si="12"/>
        <v>-7.4593140120900685</v>
      </c>
      <c r="X111" s="13">
        <f t="shared" si="13"/>
        <v>-9.0870247680771197</v>
      </c>
      <c r="Y111" s="13"/>
      <c r="Z111" s="13"/>
      <c r="AB111" t="str">
        <f t="shared" si="14"/>
        <v>40.4150943396227,50.7535558780842</v>
      </c>
      <c r="AC111" t="str">
        <f t="shared" si="15"/>
        <v>44.1688651186969,49.3917820824113</v>
      </c>
      <c r="AD111" t="str">
        <f t="shared" si="16"/>
        <v>43.9743959658769,51.797503449878</v>
      </c>
      <c r="AE111" t="str">
        <f t="shared" si="17"/>
        <v>44.6539680735884,51.7009265536619</v>
      </c>
    </row>
    <row r="112" spans="2:31" x14ac:dyDescent="0.2">
      <c r="B112" s="3">
        <v>110</v>
      </c>
      <c r="C112" s="6">
        <v>40.415094339622698</v>
      </c>
      <c r="D112" s="6">
        <v>51.722786647314997</v>
      </c>
      <c r="E112" s="8">
        <v>-1.5707963267949001</v>
      </c>
      <c r="F112" s="7"/>
      <c r="G112" s="10">
        <v>44.298912944310302</v>
      </c>
      <c r="H112" s="10">
        <v>50.352248556098402</v>
      </c>
      <c r="I112" s="10">
        <v>-1.7009859162460199</v>
      </c>
      <c r="K112" s="10">
        <v>44.100223568765102</v>
      </c>
      <c r="L112" s="10">
        <v>52.758531908548697</v>
      </c>
      <c r="M112" s="10">
        <v>-1.7703216343861601</v>
      </c>
      <c r="N112" s="13"/>
      <c r="O112" s="10">
        <v>44.807043004917404</v>
      </c>
      <c r="P112" s="10">
        <v>52.657993087097402</v>
      </c>
      <c r="Q112" s="10">
        <v>-1.80644573546426</v>
      </c>
      <c r="R112" s="13"/>
      <c r="S112" s="8">
        <v>-1.5707963267949001</v>
      </c>
      <c r="T112" s="13"/>
      <c r="U112" s="13">
        <f t="shared" si="10"/>
        <v>0</v>
      </c>
      <c r="V112" s="13">
        <f t="shared" si="11"/>
        <v>-7.4593140120900685</v>
      </c>
      <c r="W112" s="13">
        <f t="shared" si="12"/>
        <v>-11.431958031028762</v>
      </c>
      <c r="X112" s="13">
        <f t="shared" si="13"/>
        <v>-13.501716561507875</v>
      </c>
      <c r="Y112" s="13"/>
      <c r="Z112" s="13"/>
      <c r="AB112" t="str">
        <f t="shared" si="14"/>
        <v>40.4150943396227,51.722786647315</v>
      </c>
      <c r="AC112" t="str">
        <f t="shared" si="15"/>
        <v>44.2989129443103,50.3522485560984</v>
      </c>
      <c r="AD112" t="str">
        <f t="shared" si="16"/>
        <v>44.1002235687651,52.7585319085487</v>
      </c>
      <c r="AE112" t="str">
        <f t="shared" si="17"/>
        <v>44.8070430049174,52.6579930870974</v>
      </c>
    </row>
    <row r="113" spans="2:31" x14ac:dyDescent="0.2">
      <c r="B113" s="3">
        <v>111</v>
      </c>
      <c r="C113" s="6">
        <v>40.415094339622698</v>
      </c>
      <c r="D113" s="6">
        <v>52.692017416545703</v>
      </c>
      <c r="E113" s="8">
        <v>-1.5707963267949001</v>
      </c>
      <c r="F113" s="7"/>
      <c r="G113" s="10">
        <v>44.424740547198397</v>
      </c>
      <c r="H113" s="10">
        <v>51.313277014769099</v>
      </c>
      <c r="I113" s="10">
        <v>-1.4882316757660701</v>
      </c>
      <c r="K113" s="10">
        <v>44.292329060006203</v>
      </c>
      <c r="L113" s="10">
        <v>53.708533889735499</v>
      </c>
      <c r="M113" s="10">
        <v>-1.4882316757660701</v>
      </c>
      <c r="N113" s="13"/>
      <c r="O113" s="10">
        <v>45.033333669896898</v>
      </c>
      <c r="P113" s="10">
        <v>53.600437153855196</v>
      </c>
      <c r="Q113" s="10">
        <v>-1.49305130348105</v>
      </c>
      <c r="R113" s="13"/>
      <c r="S113" s="8">
        <v>-1.5707963267949001</v>
      </c>
      <c r="T113" s="13"/>
      <c r="U113" s="13">
        <f t="shared" si="10"/>
        <v>0</v>
      </c>
      <c r="V113" s="13">
        <f t="shared" si="11"/>
        <v>4.7306060409224315</v>
      </c>
      <c r="W113" s="13">
        <f t="shared" si="12"/>
        <v>4.7306060409224315</v>
      </c>
      <c r="X113" s="13">
        <f t="shared" si="13"/>
        <v>4.4544617140298026</v>
      </c>
      <c r="Y113" s="13"/>
      <c r="Z113" s="13"/>
      <c r="AB113" t="str">
        <f t="shared" si="14"/>
        <v>40.4150943396227,52.6920174165457</v>
      </c>
      <c r="AC113" t="str">
        <f t="shared" si="15"/>
        <v>44.4247405471984,51.3132770147691</v>
      </c>
      <c r="AD113" t="str">
        <f t="shared" si="16"/>
        <v>44.2923290600062,53.7085338897355</v>
      </c>
      <c r="AE113" t="str">
        <f t="shared" si="17"/>
        <v>45.0333336698969,53.6004371538552</v>
      </c>
    </row>
    <row r="114" spans="2:31" x14ac:dyDescent="0.2">
      <c r="B114" s="3">
        <v>112</v>
      </c>
      <c r="C114" s="6">
        <v>40.415094339622698</v>
      </c>
      <c r="D114" s="6">
        <v>53.6612481857765</v>
      </c>
      <c r="E114" s="8">
        <v>-1.5707963267949001</v>
      </c>
      <c r="F114" s="7"/>
      <c r="G114" s="10">
        <v>44.344807235768997</v>
      </c>
      <c r="H114" s="10">
        <v>52.279206075180703</v>
      </c>
      <c r="I114" s="10">
        <v>-1.7322398284930001</v>
      </c>
      <c r="K114" s="10">
        <v>44.212395748576803</v>
      </c>
      <c r="L114" s="10">
        <v>54.674462950147003</v>
      </c>
      <c r="M114" s="10">
        <v>-1.7322398284930001</v>
      </c>
      <c r="N114" s="13"/>
      <c r="O114" s="10">
        <v>44.958056687290501</v>
      </c>
      <c r="P114" s="10">
        <v>54.566740242908203</v>
      </c>
      <c r="Q114" s="10">
        <v>-1.7394438827021701</v>
      </c>
      <c r="R114" s="13"/>
      <c r="S114" s="8">
        <v>-1.5707963267949001</v>
      </c>
      <c r="T114" s="13"/>
      <c r="U114" s="13">
        <f t="shared" si="10"/>
        <v>0</v>
      </c>
      <c r="V114" s="13">
        <f t="shared" si="11"/>
        <v>-9.2500312771142674</v>
      </c>
      <c r="W114" s="13">
        <f t="shared" si="12"/>
        <v>-9.2500312771142674</v>
      </c>
      <c r="X114" s="13">
        <f t="shared" si="13"/>
        <v>-9.6627931786831667</v>
      </c>
      <c r="Y114" s="13"/>
      <c r="Z114" s="13"/>
      <c r="AB114" t="str">
        <f t="shared" si="14"/>
        <v>40.4150943396227,53.6612481857765</v>
      </c>
      <c r="AC114" t="str">
        <f t="shared" si="15"/>
        <v>44.344807235769,52.2792060751807</v>
      </c>
      <c r="AD114" t="str">
        <f t="shared" si="16"/>
        <v>44.2123957485768,54.674462950147</v>
      </c>
      <c r="AE114" t="str">
        <f t="shared" si="17"/>
        <v>44.9580566872905,54.5667402429082</v>
      </c>
    </row>
    <row r="115" spans="2:31" x14ac:dyDescent="0.2">
      <c r="B115" s="3">
        <v>113</v>
      </c>
      <c r="C115" s="6">
        <v>40.415094339622698</v>
      </c>
      <c r="D115" s="6">
        <v>54.630478955007298</v>
      </c>
      <c r="E115" s="8">
        <v>-1.5707963267949001</v>
      </c>
      <c r="F115" s="7"/>
      <c r="G115" s="10">
        <v>44.500604398489301</v>
      </c>
      <c r="H115" s="10">
        <v>53.235833237722098</v>
      </c>
      <c r="I115" s="10">
        <v>-1.7322398284930001</v>
      </c>
      <c r="K115" s="10">
        <v>44.368192911297001</v>
      </c>
      <c r="L115" s="10">
        <v>55.631090112688398</v>
      </c>
      <c r="M115" s="10">
        <v>-1.7292622920163401</v>
      </c>
      <c r="N115" s="13"/>
      <c r="O115" s="10">
        <v>45.1207413415434</v>
      </c>
      <c r="P115" s="10">
        <v>55.522220220351102</v>
      </c>
      <c r="Q115" s="10">
        <v>-1.7418646750028599</v>
      </c>
      <c r="R115" s="13"/>
      <c r="S115" s="8">
        <v>-1.5707963267949001</v>
      </c>
      <c r="T115" s="13"/>
      <c r="U115" s="13">
        <f t="shared" si="10"/>
        <v>0</v>
      </c>
      <c r="V115" s="13">
        <f t="shared" si="11"/>
        <v>-9.2500312771142674</v>
      </c>
      <c r="W115" s="13">
        <f t="shared" si="12"/>
        <v>-9.0794310036553956</v>
      </c>
      <c r="X115" s="13">
        <f t="shared" si="13"/>
        <v>-9.801494360590457</v>
      </c>
      <c r="Y115" s="13"/>
      <c r="Z115" s="13"/>
      <c r="AB115" t="str">
        <f t="shared" si="14"/>
        <v>40.4150943396227,54.6304789550073</v>
      </c>
      <c r="AC115" t="str">
        <f t="shared" si="15"/>
        <v>44.5006043984893,53.2358332377221</v>
      </c>
      <c r="AD115" t="str">
        <f t="shared" si="16"/>
        <v>44.368192911297,55.6310901126884</v>
      </c>
      <c r="AE115" t="str">
        <f t="shared" si="17"/>
        <v>45.1207413415434,55.5222202203511</v>
      </c>
    </row>
    <row r="116" spans="2:31" x14ac:dyDescent="0.2">
      <c r="B116" s="3">
        <v>114</v>
      </c>
      <c r="C116" s="6">
        <v>40.415094339622698</v>
      </c>
      <c r="D116" s="6">
        <v>55.599709724237997</v>
      </c>
      <c r="E116" s="8">
        <v>-1.5707963267949001</v>
      </c>
      <c r="F116" s="7"/>
      <c r="G116" s="10">
        <v>44.656401561209499</v>
      </c>
      <c r="H116" s="10">
        <v>54.192460400263499</v>
      </c>
      <c r="I116" s="10">
        <v>-1.5072607742838</v>
      </c>
      <c r="K116" s="10">
        <v>44.521140995328302</v>
      </c>
      <c r="L116" s="10">
        <v>56.588176925686497</v>
      </c>
      <c r="M116" s="10">
        <v>-1.5072607742838</v>
      </c>
      <c r="N116" s="13"/>
      <c r="O116" s="10">
        <v>45.285738535424997</v>
      </c>
      <c r="P116" s="10">
        <v>56.477303572752803</v>
      </c>
      <c r="Q116" s="10">
        <v>-1.52969395341676</v>
      </c>
      <c r="R116" s="13"/>
      <c r="S116" s="8">
        <v>-1.5707963267949001</v>
      </c>
      <c r="T116" s="13"/>
      <c r="U116" s="13">
        <f t="shared" si="10"/>
        <v>0</v>
      </c>
      <c r="V116" s="13">
        <f t="shared" si="11"/>
        <v>3.6403190079178551</v>
      </c>
      <c r="W116" s="13">
        <f t="shared" si="12"/>
        <v>3.6403190079178551</v>
      </c>
      <c r="X116" s="13">
        <f t="shared" si="13"/>
        <v>2.354992522538303</v>
      </c>
      <c r="Y116" s="13"/>
      <c r="Z116" s="13"/>
      <c r="AB116" t="str">
        <f t="shared" si="14"/>
        <v>40.4150943396227,55.599709724238</v>
      </c>
      <c r="AC116" t="str">
        <f t="shared" si="15"/>
        <v>44.6564015612095,54.1924604002635</v>
      </c>
      <c r="AD116" t="str">
        <f t="shared" si="16"/>
        <v>44.5211409953283,56.5881769256865</v>
      </c>
      <c r="AE116" t="str">
        <f t="shared" si="17"/>
        <v>45.285738535425,56.4773035727528</v>
      </c>
    </row>
    <row r="117" spans="2:31" x14ac:dyDescent="0.2">
      <c r="B117" s="3">
        <v>115</v>
      </c>
      <c r="C117" s="6">
        <v>40.415094339622698</v>
      </c>
      <c r="D117" s="6">
        <v>56.568940493468801</v>
      </c>
      <c r="E117" s="8">
        <v>-1.5707963267949001</v>
      </c>
      <c r="F117" s="7"/>
      <c r="G117" s="10">
        <v>44.594862371505599</v>
      </c>
      <c r="H117" s="10">
        <v>55.159735548375103</v>
      </c>
      <c r="I117" s="10">
        <v>-1.6881032010115899</v>
      </c>
      <c r="K117" s="10">
        <v>44.459601805624402</v>
      </c>
      <c r="L117" s="10">
        <v>57.555452073798101</v>
      </c>
      <c r="M117" s="10">
        <v>-1.6881032010115899</v>
      </c>
      <c r="N117" s="13"/>
      <c r="O117" s="10">
        <v>45.245912066509</v>
      </c>
      <c r="P117" s="10">
        <v>57.445715745537299</v>
      </c>
      <c r="Q117" s="10">
        <v>-1.7269803483162001</v>
      </c>
      <c r="R117" s="13"/>
      <c r="S117" s="8">
        <v>-1.5707963267949001</v>
      </c>
      <c r="T117" s="13"/>
      <c r="U117" s="13">
        <f t="shared" si="10"/>
        <v>0</v>
      </c>
      <c r="V117" s="13">
        <f t="shared" si="11"/>
        <v>-6.721188800488342</v>
      </c>
      <c r="W117" s="13">
        <f t="shared" si="12"/>
        <v>-6.721188800488342</v>
      </c>
      <c r="X117" s="13">
        <f t="shared" si="13"/>
        <v>-8.9486852605509064</v>
      </c>
      <c r="Y117" s="13"/>
      <c r="Z117" s="13"/>
      <c r="AB117" t="str">
        <f t="shared" si="14"/>
        <v>40.4150943396227,56.5689404934688</v>
      </c>
      <c r="AC117" t="str">
        <f t="shared" si="15"/>
        <v>44.5948623715056,55.1597355483751</v>
      </c>
      <c r="AD117" t="str">
        <f t="shared" si="16"/>
        <v>44.4596018056244,57.5554520737981</v>
      </c>
      <c r="AE117" t="str">
        <f t="shared" si="17"/>
        <v>45.245912066509,57.4457157455373</v>
      </c>
    </row>
    <row r="118" spans="2:31" x14ac:dyDescent="0.2">
      <c r="B118" s="3">
        <v>116</v>
      </c>
      <c r="C118" s="6">
        <v>40.415094339622698</v>
      </c>
      <c r="D118" s="6">
        <v>57.538171262699599</v>
      </c>
      <c r="E118" s="8">
        <v>-1.5707963267949001</v>
      </c>
      <c r="F118" s="7"/>
      <c r="G118" s="10">
        <v>44.7082992195797</v>
      </c>
      <c r="H118" s="10">
        <v>56.1223052162551</v>
      </c>
      <c r="I118" s="10">
        <v>-1.54967611195114</v>
      </c>
      <c r="K118" s="10">
        <v>44.573038653698497</v>
      </c>
      <c r="L118" s="10">
        <v>58.518021741678098</v>
      </c>
      <c r="M118" s="10">
        <v>-1.54967611195114</v>
      </c>
      <c r="N118" s="13"/>
      <c r="O118" s="10">
        <v>45.396675735991799</v>
      </c>
      <c r="P118" s="10">
        <v>58.403149085247101</v>
      </c>
      <c r="Q118" s="10">
        <v>-1.5646624558126401</v>
      </c>
      <c r="R118" s="13"/>
      <c r="S118" s="8">
        <v>-1.5707963267949001</v>
      </c>
      <c r="T118" s="13"/>
      <c r="U118" s="13">
        <f t="shared" si="10"/>
        <v>0</v>
      </c>
      <c r="V118" s="13">
        <f t="shared" si="11"/>
        <v>1.2100991729570096</v>
      </c>
      <c r="W118" s="13">
        <f t="shared" si="12"/>
        <v>1.2100991729570096</v>
      </c>
      <c r="X118" s="13">
        <f t="shared" si="13"/>
        <v>0.35144491936126476</v>
      </c>
      <c r="Y118" s="13"/>
      <c r="Z118" s="13"/>
      <c r="AB118" t="str">
        <f t="shared" si="14"/>
        <v>40.4150943396227,57.5381712626996</v>
      </c>
      <c r="AC118" t="str">
        <f t="shared" si="15"/>
        <v>44.7082992195797,56.1223052162551</v>
      </c>
      <c r="AD118" t="str">
        <f t="shared" si="16"/>
        <v>44.5730386536985,58.5180217416781</v>
      </c>
      <c r="AE118" t="str">
        <f t="shared" si="17"/>
        <v>45.3966757359918,58.4031490852471</v>
      </c>
    </row>
    <row r="119" spans="2:31" x14ac:dyDescent="0.2">
      <c r="B119" s="3">
        <v>117</v>
      </c>
      <c r="C119" s="6">
        <v>40.415094339622698</v>
      </c>
      <c r="D119" s="6">
        <v>58.507402031930297</v>
      </c>
      <c r="E119" s="8">
        <v>-1.5707963267949001</v>
      </c>
      <c r="F119" s="7"/>
      <c r="G119" s="10">
        <v>44.687830379313297</v>
      </c>
      <c r="H119" s="10">
        <v>57.091319824298601</v>
      </c>
      <c r="I119" s="10">
        <v>-1.72475080045867</v>
      </c>
      <c r="K119" s="10">
        <v>44.5525698134321</v>
      </c>
      <c r="L119" s="10">
        <v>59.487036349721699</v>
      </c>
      <c r="M119" s="10">
        <v>-1.72475080045867</v>
      </c>
      <c r="N119" s="13"/>
      <c r="O119" s="10">
        <v>45.390730636781498</v>
      </c>
      <c r="P119" s="10">
        <v>59.372361621184901</v>
      </c>
      <c r="Q119" s="10">
        <v>-1.75205592668132</v>
      </c>
      <c r="R119" s="13"/>
      <c r="S119" s="8">
        <v>-1.5707963267949001</v>
      </c>
      <c r="T119" s="13"/>
      <c r="U119" s="13">
        <f t="shared" si="10"/>
        <v>0</v>
      </c>
      <c r="V119" s="13">
        <f t="shared" si="11"/>
        <v>-8.8209415780920004</v>
      </c>
      <c r="W119" s="13">
        <f t="shared" si="12"/>
        <v>-8.8209415780920004</v>
      </c>
      <c r="X119" s="13">
        <f t="shared" si="13"/>
        <v>-10.385410069721839</v>
      </c>
      <c r="Y119" s="13"/>
      <c r="Z119" s="13"/>
      <c r="AB119" t="str">
        <f t="shared" si="14"/>
        <v>40.4150943396227,58.5074020319303</v>
      </c>
      <c r="AC119" t="str">
        <f t="shared" si="15"/>
        <v>44.6878303793133,57.0913198242986</v>
      </c>
      <c r="AD119" t="str">
        <f t="shared" si="16"/>
        <v>44.5525698134321,59.4870363497217</v>
      </c>
      <c r="AE119" t="str">
        <f t="shared" si="17"/>
        <v>45.3907306367815,59.3723616211849</v>
      </c>
    </row>
    <row r="120" spans="2:31" x14ac:dyDescent="0.2">
      <c r="B120" s="3">
        <v>118</v>
      </c>
      <c r="C120" s="6">
        <v>40.415094339622698</v>
      </c>
      <c r="D120" s="6">
        <v>59.476632801161102</v>
      </c>
      <c r="E120" s="8">
        <v>-1.5707963267949001</v>
      </c>
      <c r="F120" s="7"/>
      <c r="G120" s="10">
        <v>44.836459032399098</v>
      </c>
      <c r="H120" s="10">
        <v>58.049086918902297</v>
      </c>
      <c r="I120" s="10">
        <v>-1.72475080045867</v>
      </c>
      <c r="K120" s="10">
        <v>44.701198466517901</v>
      </c>
      <c r="L120" s="10">
        <v>60.444803444325302</v>
      </c>
      <c r="M120" s="10">
        <v>-1.7178750832360901</v>
      </c>
      <c r="N120" s="13"/>
      <c r="O120" s="10">
        <v>45.565452588629803</v>
      </c>
      <c r="P120" s="10">
        <v>60.325713876946701</v>
      </c>
      <c r="Q120" s="10">
        <v>-1.75215682071555</v>
      </c>
      <c r="R120" s="13"/>
      <c r="S120" s="8">
        <v>-1.5707963267949001</v>
      </c>
      <c r="T120" s="13"/>
      <c r="U120" s="13">
        <f t="shared" si="10"/>
        <v>0</v>
      </c>
      <c r="V120" s="13">
        <f t="shared" si="11"/>
        <v>-8.8209415780920004</v>
      </c>
      <c r="W120" s="13">
        <f t="shared" si="12"/>
        <v>-8.4269920001127563</v>
      </c>
      <c r="X120" s="13">
        <f t="shared" si="13"/>
        <v>-10.391190872061264</v>
      </c>
      <c r="Y120" s="13"/>
      <c r="Z120" s="13"/>
      <c r="AB120" t="str">
        <f t="shared" si="14"/>
        <v>40.4150943396227,59.4766328011611</v>
      </c>
      <c r="AC120" t="str">
        <f t="shared" si="15"/>
        <v>44.8364590323991,58.0490869189023</v>
      </c>
      <c r="AD120" t="str">
        <f t="shared" si="16"/>
        <v>44.7011984665179,60.4448034443253</v>
      </c>
      <c r="AE120" t="str">
        <f t="shared" si="17"/>
        <v>45.5654525886298,60.3257138769467</v>
      </c>
    </row>
    <row r="121" spans="2:31" x14ac:dyDescent="0.2">
      <c r="B121" s="3">
        <v>119</v>
      </c>
      <c r="C121" s="6">
        <v>40.415094339622698</v>
      </c>
      <c r="D121" s="6">
        <v>60.4458635703919</v>
      </c>
      <c r="E121" s="8">
        <v>-1.5707963267949001</v>
      </c>
      <c r="F121" s="7"/>
      <c r="G121" s="10">
        <v>44.985087685484899</v>
      </c>
      <c r="H121" s="10">
        <v>59.006854013506</v>
      </c>
      <c r="I121" s="10">
        <v>-1.5170833397505701</v>
      </c>
      <c r="K121" s="10">
        <v>44.843238322551301</v>
      </c>
      <c r="L121" s="10">
        <v>61.403569820102902</v>
      </c>
      <c r="M121" s="10">
        <v>-1.5170833397505701</v>
      </c>
      <c r="N121" s="13"/>
      <c r="O121" s="10">
        <v>45.740270727143802</v>
      </c>
      <c r="P121" s="10">
        <v>61.279048499453502</v>
      </c>
      <c r="Q121" s="10">
        <v>-1.5161486844134899</v>
      </c>
      <c r="R121" s="13"/>
      <c r="S121" s="8">
        <v>-1.5707963267949001</v>
      </c>
      <c r="T121" s="13"/>
      <c r="U121" s="13">
        <f t="shared" si="10"/>
        <v>0</v>
      </c>
      <c r="V121" s="13">
        <f t="shared" si="11"/>
        <v>3.0775274626809805</v>
      </c>
      <c r="W121" s="13">
        <f t="shared" si="12"/>
        <v>3.0775274626809805</v>
      </c>
      <c r="X121" s="13">
        <f t="shared" si="13"/>
        <v>3.1310792687950508</v>
      </c>
      <c r="Y121" s="13"/>
      <c r="Z121" s="13"/>
      <c r="AB121" t="str">
        <f t="shared" si="14"/>
        <v>40.4150943396227,60.4458635703919</v>
      </c>
      <c r="AC121" t="str">
        <f t="shared" si="15"/>
        <v>44.9850876854849,59.006854013506</v>
      </c>
      <c r="AD121" t="str">
        <f t="shared" si="16"/>
        <v>44.8432383225513,61.4035698201029</v>
      </c>
      <c r="AE121" t="str">
        <f t="shared" si="17"/>
        <v>45.7402707271438,61.2790484994535</v>
      </c>
    </row>
    <row r="122" spans="2:31" x14ac:dyDescent="0.2">
      <c r="B122" s="3">
        <v>120</v>
      </c>
      <c r="C122" s="6">
        <v>40.415094339622698</v>
      </c>
      <c r="D122" s="6">
        <v>60.4458635703919</v>
      </c>
      <c r="E122" s="8">
        <v>0</v>
      </c>
      <c r="F122" s="7"/>
      <c r="G122" s="10">
        <v>44.985087685484899</v>
      </c>
      <c r="H122" s="10">
        <v>59.006854013506</v>
      </c>
      <c r="I122" s="10">
        <v>-0.44970972385512697</v>
      </c>
      <c r="K122" s="10">
        <v>44.843238322551301</v>
      </c>
      <c r="L122" s="10">
        <v>61.403569820102902</v>
      </c>
      <c r="M122" s="10">
        <v>-0.44970972385512697</v>
      </c>
      <c r="N122" s="13"/>
      <c r="O122" s="10">
        <v>45.740270727143802</v>
      </c>
      <c r="P122" s="10">
        <v>61.279048499453502</v>
      </c>
      <c r="Q122" s="10">
        <v>-0.49773699803239901</v>
      </c>
      <c r="R122" s="13"/>
      <c r="S122" s="8">
        <v>0</v>
      </c>
      <c r="T122" s="13"/>
      <c r="U122" s="13">
        <f t="shared" si="10"/>
        <v>0</v>
      </c>
      <c r="V122" s="13">
        <f t="shared" si="11"/>
        <v>-25.766469182892493</v>
      </c>
      <c r="W122" s="13">
        <f t="shared" si="12"/>
        <v>-25.766469182892493</v>
      </c>
      <c r="X122" s="13">
        <f t="shared" si="13"/>
        <v>-28.518229294767821</v>
      </c>
      <c r="Y122" s="13"/>
      <c r="Z122" s="13"/>
      <c r="AB122" t="str">
        <f t="shared" si="14"/>
        <v>40.4150943396227,60.4458635703919</v>
      </c>
      <c r="AC122" t="str">
        <f t="shared" si="15"/>
        <v>44.9850876854849,59.006854013506</v>
      </c>
      <c r="AD122" t="str">
        <f t="shared" si="16"/>
        <v>44.8432383225513,61.4035698201029</v>
      </c>
      <c r="AE122" t="str">
        <f t="shared" si="17"/>
        <v>45.7402707271438,61.2790484994535</v>
      </c>
    </row>
    <row r="123" spans="2:31" x14ac:dyDescent="0.2">
      <c r="B123" s="3">
        <v>121</v>
      </c>
      <c r="C123" s="6">
        <v>39.481761006289297</v>
      </c>
      <c r="D123" s="6">
        <v>60.4458635703919</v>
      </c>
      <c r="E123" s="8">
        <v>0</v>
      </c>
      <c r="F123" s="7"/>
      <c r="G123" s="10">
        <v>44.144552582587103</v>
      </c>
      <c r="H123" s="10">
        <v>59.412577875150497</v>
      </c>
      <c r="I123" s="10">
        <v>-0.193580619363246</v>
      </c>
      <c r="K123" s="10">
        <v>44.002703219653498</v>
      </c>
      <c r="L123" s="10">
        <v>61.809293681747398</v>
      </c>
      <c r="M123" s="10">
        <v>-0.193580619363246</v>
      </c>
      <c r="N123" s="13"/>
      <c r="O123" s="10">
        <v>44.920183156021203</v>
      </c>
      <c r="P123" s="10">
        <v>61.724657618302302</v>
      </c>
      <c r="Q123" s="10">
        <v>-0.27748702210710102</v>
      </c>
      <c r="R123" s="13"/>
      <c r="S123" s="8">
        <v>0</v>
      </c>
      <c r="T123" s="13"/>
      <c r="U123" s="13">
        <f t="shared" si="10"/>
        <v>0</v>
      </c>
      <c r="V123" s="13">
        <f t="shared" si="11"/>
        <v>-11.091352485042458</v>
      </c>
      <c r="W123" s="13">
        <f t="shared" si="12"/>
        <v>-11.091352485042458</v>
      </c>
      <c r="X123" s="13">
        <f t="shared" si="13"/>
        <v>-15.89883523639026</v>
      </c>
      <c r="Y123" s="13"/>
      <c r="Z123" s="13"/>
      <c r="AB123" t="str">
        <f t="shared" si="14"/>
        <v>39.4817610062893,60.4458635703919</v>
      </c>
      <c r="AC123" t="str">
        <f t="shared" si="15"/>
        <v>44.1445525825871,59.4125778751505</v>
      </c>
      <c r="AD123" t="str">
        <f t="shared" si="16"/>
        <v>44.0027032196535,61.8092936817474</v>
      </c>
      <c r="AE123" t="str">
        <f t="shared" si="17"/>
        <v>44.9201831560212,61.7246576183023</v>
      </c>
    </row>
    <row r="124" spans="2:31" x14ac:dyDescent="0.2">
      <c r="B124" s="3">
        <v>122</v>
      </c>
      <c r="C124" s="6">
        <v>38.548427672956002</v>
      </c>
      <c r="D124" s="6">
        <v>60.4458635703919</v>
      </c>
      <c r="E124" s="8">
        <v>0</v>
      </c>
      <c r="F124" s="7"/>
      <c r="G124" s="10">
        <v>43.228652320204603</v>
      </c>
      <c r="H124" s="10">
        <v>59.592126811317598</v>
      </c>
      <c r="I124" s="10">
        <v>-0.193580619363246</v>
      </c>
      <c r="K124" s="10">
        <v>43.086802957270997</v>
      </c>
      <c r="L124" s="10">
        <v>61.9888426179145</v>
      </c>
      <c r="M124" s="10">
        <v>-0.20975804259102501</v>
      </c>
      <c r="N124" s="13"/>
      <c r="O124" s="10">
        <v>44.022552735941801</v>
      </c>
      <c r="P124" s="10">
        <v>61.980334641241903</v>
      </c>
      <c r="Q124" s="10">
        <v>-0.28624788674123203</v>
      </c>
      <c r="R124" s="13"/>
      <c r="S124" s="8">
        <v>0</v>
      </c>
      <c r="T124" s="13"/>
      <c r="U124" s="13">
        <f t="shared" si="10"/>
        <v>0</v>
      </c>
      <c r="V124" s="13">
        <f t="shared" si="11"/>
        <v>-11.091352485042458</v>
      </c>
      <c r="W124" s="13">
        <f t="shared" si="12"/>
        <v>-12.018250559391101</v>
      </c>
      <c r="X124" s="13">
        <f t="shared" si="13"/>
        <v>-16.400795804811391</v>
      </c>
      <c r="Y124" s="13"/>
      <c r="Z124" s="13"/>
      <c r="AB124" t="str">
        <f t="shared" si="14"/>
        <v>38.548427672956,60.4458635703919</v>
      </c>
      <c r="AC124" t="str">
        <f t="shared" si="15"/>
        <v>43.2286523202046,59.5921268113176</v>
      </c>
      <c r="AD124" t="str">
        <f t="shared" si="16"/>
        <v>43.086802957271,61.9888426179145</v>
      </c>
      <c r="AE124" t="str">
        <f t="shared" si="17"/>
        <v>44.0225527359418,61.9803346412419</v>
      </c>
    </row>
    <row r="125" spans="2:31" x14ac:dyDescent="0.2">
      <c r="B125" s="3">
        <v>123</v>
      </c>
      <c r="C125" s="6">
        <v>37.615094339622701</v>
      </c>
      <c r="D125" s="6">
        <v>60.4458635703919</v>
      </c>
      <c r="E125" s="8">
        <v>0</v>
      </c>
      <c r="F125" s="7"/>
      <c r="G125" s="10">
        <v>42.312752057822102</v>
      </c>
      <c r="H125" s="10">
        <v>59.7716757474848</v>
      </c>
      <c r="I125" s="10">
        <v>-1.7735839381106702E-2</v>
      </c>
      <c r="K125" s="10">
        <v>42.173927054392898</v>
      </c>
      <c r="L125" s="10">
        <v>62.183184319706903</v>
      </c>
      <c r="M125" s="10">
        <v>-1.7735839381106702E-2</v>
      </c>
      <c r="N125" s="13"/>
      <c r="O125" s="10">
        <v>43.127196686577697</v>
      </c>
      <c r="P125" s="10">
        <v>62.243865770291599</v>
      </c>
      <c r="Q125" s="10">
        <v>-0.163949218735816</v>
      </c>
      <c r="R125" s="13"/>
      <c r="S125" s="8">
        <v>0</v>
      </c>
      <c r="T125" s="13"/>
      <c r="U125" s="13">
        <f t="shared" si="10"/>
        <v>0</v>
      </c>
      <c r="V125" s="13">
        <f t="shared" si="11"/>
        <v>-1.0161887426593321</v>
      </c>
      <c r="W125" s="13">
        <f t="shared" si="12"/>
        <v>-1.0161887426593321</v>
      </c>
      <c r="X125" s="13">
        <f t="shared" si="13"/>
        <v>-9.3935982880294198</v>
      </c>
      <c r="Y125" s="13"/>
      <c r="Z125" s="13"/>
      <c r="AB125" t="str">
        <f t="shared" si="14"/>
        <v>37.6150943396227,60.4458635703919</v>
      </c>
      <c r="AC125" t="str">
        <f t="shared" si="15"/>
        <v>42.3127520578221,59.7716757474848</v>
      </c>
      <c r="AD125" t="str">
        <f t="shared" si="16"/>
        <v>42.1739270543929,62.1831843197069</v>
      </c>
      <c r="AE125" t="str">
        <f t="shared" si="17"/>
        <v>43.1271966865777,62.2438657702916</v>
      </c>
    </row>
    <row r="126" spans="2:31" x14ac:dyDescent="0.2">
      <c r="B126" s="3">
        <v>124</v>
      </c>
      <c r="C126" s="6">
        <v>36.6817610062893</v>
      </c>
      <c r="D126" s="6">
        <v>60.4458635703919</v>
      </c>
      <c r="E126" s="8">
        <v>0</v>
      </c>
      <c r="F126" s="7"/>
      <c r="G126" s="10">
        <v>41.379565515306801</v>
      </c>
      <c r="H126" s="10">
        <v>59.788228329745202</v>
      </c>
      <c r="I126" s="10">
        <v>-0.18579033311693899</v>
      </c>
      <c r="K126" s="10">
        <v>41.240740511877597</v>
      </c>
      <c r="L126" s="10">
        <v>62.199736901967398</v>
      </c>
      <c r="M126" s="10">
        <v>-0.18579033311693899</v>
      </c>
      <c r="N126" s="13"/>
      <c r="O126" s="10">
        <v>42.206378976164601</v>
      </c>
      <c r="P126" s="10">
        <v>62.396200452162503</v>
      </c>
      <c r="Q126" s="10">
        <v>-0.24888746047952701</v>
      </c>
      <c r="R126" s="13"/>
      <c r="S126" s="8">
        <v>0</v>
      </c>
      <c r="T126" s="13"/>
      <c r="U126" s="13">
        <f t="shared" si="10"/>
        <v>0</v>
      </c>
      <c r="V126" s="13">
        <f t="shared" si="11"/>
        <v>-10.645001961930253</v>
      </c>
      <c r="W126" s="13">
        <f t="shared" si="12"/>
        <v>-10.645001961930253</v>
      </c>
      <c r="X126" s="13">
        <f t="shared" si="13"/>
        <v>-14.26020105920597</v>
      </c>
      <c r="Y126" s="13"/>
      <c r="Z126" s="13"/>
      <c r="AB126" t="str">
        <f t="shared" si="14"/>
        <v>36.6817610062893,60.4458635703919</v>
      </c>
      <c r="AC126" t="str">
        <f t="shared" si="15"/>
        <v>41.3795655153068,59.7882283297452</v>
      </c>
      <c r="AD126" t="str">
        <f t="shared" si="16"/>
        <v>41.2407405118776,62.1997369019674</v>
      </c>
      <c r="AE126" t="str">
        <f t="shared" si="17"/>
        <v>42.2063789761646,62.3962004521625</v>
      </c>
    </row>
    <row r="127" spans="2:31" x14ac:dyDescent="0.2">
      <c r="B127" s="3">
        <v>125</v>
      </c>
      <c r="C127" s="6">
        <v>35.748427672955998</v>
      </c>
      <c r="D127" s="6">
        <v>60.4458635703919</v>
      </c>
      <c r="E127" s="8">
        <v>0</v>
      </c>
      <c r="F127" s="7"/>
      <c r="G127" s="10">
        <v>40.462294321657502</v>
      </c>
      <c r="H127" s="10">
        <v>59.960636764609603</v>
      </c>
      <c r="I127" s="10">
        <v>-0.18579033311693899</v>
      </c>
      <c r="K127" s="10">
        <v>40.323469318228298</v>
      </c>
      <c r="L127" s="10">
        <v>62.3721453368317</v>
      </c>
      <c r="M127" s="10">
        <v>-0.17816311629225301</v>
      </c>
      <c r="N127" s="13"/>
      <c r="O127" s="10">
        <v>41.301804378708198</v>
      </c>
      <c r="P127" s="10">
        <v>62.6261045816333</v>
      </c>
      <c r="Q127" s="10">
        <v>-0.252794893113093</v>
      </c>
      <c r="R127" s="13"/>
      <c r="S127" s="8">
        <v>0</v>
      </c>
      <c r="T127" s="13"/>
      <c r="U127" s="13">
        <f t="shared" si="10"/>
        <v>0</v>
      </c>
      <c r="V127" s="13">
        <f t="shared" si="11"/>
        <v>-10.645001961930253</v>
      </c>
      <c r="W127" s="13">
        <f t="shared" si="12"/>
        <v>-10.207994628444574</v>
      </c>
      <c r="X127" s="13">
        <f t="shared" si="13"/>
        <v>-14.484080457840989</v>
      </c>
      <c r="Y127" s="13"/>
      <c r="Z127" s="13"/>
      <c r="AB127" t="str">
        <f t="shared" si="14"/>
        <v>35.748427672956,60.4458635703919</v>
      </c>
      <c r="AC127" t="str">
        <f t="shared" si="15"/>
        <v>40.4622943216575,59.9606367646096</v>
      </c>
      <c r="AD127" t="str">
        <f t="shared" si="16"/>
        <v>40.3234693182283,62.3721453368317</v>
      </c>
      <c r="AE127" t="str">
        <f t="shared" si="17"/>
        <v>41.3018043787082,62.6261045816333</v>
      </c>
    </row>
    <row r="128" spans="2:31" x14ac:dyDescent="0.2">
      <c r="B128" s="3">
        <v>126</v>
      </c>
      <c r="C128" s="6">
        <v>34.815094339622704</v>
      </c>
      <c r="D128" s="6">
        <v>60.4458635703919</v>
      </c>
      <c r="E128" s="8">
        <v>0</v>
      </c>
      <c r="F128" s="7"/>
      <c r="G128" s="10">
        <v>39.545023128008303</v>
      </c>
      <c r="H128" s="10">
        <v>60.133045199473898</v>
      </c>
      <c r="I128" s="10">
        <v>-5.7192773697803904E-3</v>
      </c>
      <c r="K128" s="10">
        <v>39.404909821551797</v>
      </c>
      <c r="L128" s="10">
        <v>62.537552598391002</v>
      </c>
      <c r="M128" s="10">
        <v>-5.7192773697803904E-3</v>
      </c>
      <c r="N128" s="13"/>
      <c r="O128" s="10">
        <v>40.398135019391098</v>
      </c>
      <c r="P128" s="10">
        <v>62.859541511322099</v>
      </c>
      <c r="Q128" s="10">
        <v>-0.130995817070059</v>
      </c>
      <c r="R128" s="13"/>
      <c r="S128" s="8">
        <v>0</v>
      </c>
      <c r="T128" s="13"/>
      <c r="U128" s="13">
        <f t="shared" si="10"/>
        <v>0</v>
      </c>
      <c r="V128" s="13">
        <f t="shared" si="11"/>
        <v>-0.32769045515309864</v>
      </c>
      <c r="W128" s="13">
        <f t="shared" si="12"/>
        <v>-0.32769045515309864</v>
      </c>
      <c r="X128" s="13">
        <f t="shared" si="13"/>
        <v>-7.5055074519821661</v>
      </c>
      <c r="Y128" s="13"/>
      <c r="Z128" s="13"/>
      <c r="AB128" t="str">
        <f t="shared" si="14"/>
        <v>34.8150943396227,60.4458635703919</v>
      </c>
      <c r="AC128" t="str">
        <f t="shared" si="15"/>
        <v>39.5450231280083,60.1330451994739</v>
      </c>
      <c r="AD128" t="str">
        <f t="shared" si="16"/>
        <v>39.4049098215518,62.537552598391</v>
      </c>
      <c r="AE128" t="str">
        <f t="shared" si="17"/>
        <v>40.3981350193911,62.8595415113221</v>
      </c>
    </row>
    <row r="129" spans="2:31" x14ac:dyDescent="0.2">
      <c r="B129" s="3">
        <v>127</v>
      </c>
      <c r="C129" s="6">
        <v>33.881761006289302</v>
      </c>
      <c r="D129" s="6">
        <v>60.4458635703919</v>
      </c>
      <c r="E129" s="8">
        <v>0</v>
      </c>
      <c r="F129" s="7"/>
      <c r="G129" s="10">
        <v>38.611705059362301</v>
      </c>
      <c r="H129" s="10">
        <v>60.138383162584702</v>
      </c>
      <c r="I129" s="10">
        <v>-0.14446200536946999</v>
      </c>
      <c r="K129" s="10">
        <v>38.471591752905901</v>
      </c>
      <c r="L129" s="10">
        <v>62.5428905615018</v>
      </c>
      <c r="M129" s="10">
        <v>-0.14446200536946999</v>
      </c>
      <c r="N129" s="13"/>
      <c r="O129" s="10">
        <v>39.472798196535898</v>
      </c>
      <c r="P129" s="10">
        <v>62.981454904266499</v>
      </c>
      <c r="Q129" s="10">
        <v>-0.231901443165628</v>
      </c>
      <c r="R129" s="13"/>
      <c r="S129" s="8">
        <v>0</v>
      </c>
      <c r="T129" s="13"/>
      <c r="U129" s="13">
        <f t="shared" si="10"/>
        <v>0</v>
      </c>
      <c r="V129" s="13">
        <f t="shared" si="11"/>
        <v>-8.2770632076668669</v>
      </c>
      <c r="W129" s="13">
        <f t="shared" si="12"/>
        <v>-8.2770632076668669</v>
      </c>
      <c r="X129" s="13">
        <f t="shared" si="13"/>
        <v>-13.286973956383413</v>
      </c>
      <c r="Y129" s="13"/>
      <c r="Z129" s="13"/>
      <c r="AB129" t="str">
        <f t="shared" si="14"/>
        <v>33.8817610062893,60.4458635703919</v>
      </c>
      <c r="AC129" t="str">
        <f t="shared" si="15"/>
        <v>38.6117050593623,60.1383831625847</v>
      </c>
      <c r="AD129" t="str">
        <f t="shared" si="16"/>
        <v>38.4715917529059,62.5428905615018</v>
      </c>
      <c r="AE129" t="str">
        <f t="shared" si="17"/>
        <v>39.4727981965359,62.9814549042665</v>
      </c>
    </row>
    <row r="130" spans="2:31" x14ac:dyDescent="0.2">
      <c r="B130" s="3">
        <v>128</v>
      </c>
      <c r="C130" s="6">
        <v>32.948427672956001</v>
      </c>
      <c r="D130" s="6">
        <v>60.4458635703919</v>
      </c>
      <c r="E130" s="8">
        <v>0</v>
      </c>
      <c r="F130" s="7"/>
      <c r="G130" s="10">
        <v>37.6880937937974</v>
      </c>
      <c r="H130" s="10">
        <v>60.272745885215102</v>
      </c>
      <c r="I130" s="10">
        <v>-3.0432150851032701E-2</v>
      </c>
      <c r="K130" s="10">
        <v>37.547980487341</v>
      </c>
      <c r="L130" s="10">
        <v>62.677253284132199</v>
      </c>
      <c r="M130" s="10">
        <v>-3.0432150851032701E-2</v>
      </c>
      <c r="N130" s="13"/>
      <c r="O130" s="10">
        <v>38.564449124299699</v>
      </c>
      <c r="P130" s="10">
        <v>63.1959614870999</v>
      </c>
      <c r="Q130" s="10">
        <v>-0.16166055936403401</v>
      </c>
      <c r="R130" s="13"/>
      <c r="S130" s="8">
        <v>0</v>
      </c>
      <c r="T130" s="13"/>
      <c r="U130" s="13">
        <f t="shared" si="10"/>
        <v>0</v>
      </c>
      <c r="V130" s="13">
        <f t="shared" si="11"/>
        <v>-1.7436338052696303</v>
      </c>
      <c r="W130" s="13">
        <f t="shared" si="12"/>
        <v>-1.7436338052696303</v>
      </c>
      <c r="X130" s="13">
        <f t="shared" si="13"/>
        <v>-9.2624677652832492</v>
      </c>
      <c r="Y130" s="13"/>
      <c r="Z130" s="13"/>
      <c r="AB130" t="str">
        <f t="shared" si="14"/>
        <v>32.948427672956,60.4458635703919</v>
      </c>
      <c r="AC130" t="str">
        <f t="shared" si="15"/>
        <v>37.6880937937974,60.2727458852151</v>
      </c>
      <c r="AD130" t="str">
        <f t="shared" si="16"/>
        <v>37.547980487341,62.6772532841322</v>
      </c>
      <c r="AE130" t="str">
        <f t="shared" si="17"/>
        <v>38.5644491242997,63.1959614870999</v>
      </c>
    </row>
    <row r="131" spans="2:31" x14ac:dyDescent="0.2">
      <c r="B131" s="3">
        <v>129</v>
      </c>
      <c r="C131" s="6">
        <v>32.015094339622699</v>
      </c>
      <c r="D131" s="6">
        <v>60.4458635703919</v>
      </c>
      <c r="E131" s="8">
        <v>0</v>
      </c>
      <c r="F131" s="7"/>
      <c r="G131" s="10">
        <v>36.755192614486297</v>
      </c>
      <c r="H131" s="10">
        <v>60.301144842081897</v>
      </c>
      <c r="I131" s="10">
        <v>-0.20174817594032099</v>
      </c>
      <c r="K131" s="10">
        <v>36.615079308029898</v>
      </c>
      <c r="L131" s="10">
        <v>62.705652240999001</v>
      </c>
      <c r="M131" s="10">
        <v>-0.20174817594032099</v>
      </c>
      <c r="N131" s="13"/>
      <c r="O131" s="10">
        <v>37.643285183596603</v>
      </c>
      <c r="P131" s="10">
        <v>63.346188333766499</v>
      </c>
      <c r="Q131" s="10">
        <v>-0.28444289596862499</v>
      </c>
      <c r="R131" s="13"/>
      <c r="S131" s="8">
        <v>0</v>
      </c>
      <c r="T131" s="13"/>
      <c r="U131" s="13">
        <f t="shared" si="10"/>
        <v>0</v>
      </c>
      <c r="V131" s="13">
        <f t="shared" si="11"/>
        <v>-11.559319005843172</v>
      </c>
      <c r="W131" s="13">
        <f t="shared" si="12"/>
        <v>-11.559319005843172</v>
      </c>
      <c r="X131" s="13">
        <f t="shared" si="13"/>
        <v>-16.297377451480951</v>
      </c>
      <c r="Y131" s="13"/>
      <c r="Z131" s="13"/>
      <c r="AB131" t="str">
        <f t="shared" si="14"/>
        <v>32.0150943396227,60.4458635703919</v>
      </c>
      <c r="AC131" t="str">
        <f t="shared" si="15"/>
        <v>36.7551926144863,60.3011448420819</v>
      </c>
      <c r="AD131" t="str">
        <f t="shared" si="16"/>
        <v>36.6150793080299,62.705652240999</v>
      </c>
      <c r="AE131" t="str">
        <f t="shared" si="17"/>
        <v>37.6432851835966,63.3461883337665</v>
      </c>
    </row>
    <row r="132" spans="2:31" x14ac:dyDescent="0.2">
      <c r="B132" s="3">
        <v>130</v>
      </c>
      <c r="C132" s="6">
        <v>31.081761006289302</v>
      </c>
      <c r="D132" s="6">
        <v>60.4458635703919</v>
      </c>
      <c r="E132" s="8">
        <v>0</v>
      </c>
      <c r="F132" s="7"/>
      <c r="G132" s="10">
        <v>35.840789361110403</v>
      </c>
      <c r="H132" s="10">
        <v>60.4881683735601</v>
      </c>
      <c r="I132" s="10">
        <v>-0.20174817594032099</v>
      </c>
      <c r="K132" s="10">
        <v>35.700676054653897</v>
      </c>
      <c r="L132" s="10">
        <v>62.892675772477197</v>
      </c>
      <c r="M132" s="10">
        <v>-0.188064929199873</v>
      </c>
      <c r="N132" s="13"/>
      <c r="O132" s="10">
        <v>36.747454921765502</v>
      </c>
      <c r="P132" s="10">
        <v>63.608102924995499</v>
      </c>
      <c r="Q132" s="10">
        <v>-0.26133227435821199</v>
      </c>
      <c r="R132" s="13"/>
      <c r="S132" s="8">
        <v>0</v>
      </c>
      <c r="T132" s="13"/>
      <c r="U132" s="13">
        <f t="shared" ref="U132:U195" si="18">(E132-S132)*180/PI()</f>
        <v>0</v>
      </c>
      <c r="V132" s="13">
        <f t="shared" ref="V132:V196" si="19">(I132-S132)*180/PI()</f>
        <v>-11.559319005843172</v>
      </c>
      <c r="W132" s="13">
        <f t="shared" ref="W132:W195" si="20">(M132-S132)*180/PI()</f>
        <v>-10.775326717579361</v>
      </c>
      <c r="X132" s="13">
        <f t="shared" ref="X132:X195" si="21">(Q132-S132)*180/PI()</f>
        <v>-14.973236371280452</v>
      </c>
      <c r="Y132" s="13"/>
      <c r="Z132" s="13"/>
      <c r="AB132" t="str">
        <f t="shared" ref="AB132:AB195" si="22">C132&amp;","&amp;D132</f>
        <v>31.0817610062893,60.4458635703919</v>
      </c>
      <c r="AC132" t="str">
        <f t="shared" ref="AC132:AC195" si="23">G132&amp;","&amp;H132</f>
        <v>35.8407893611104,60.4881683735601</v>
      </c>
      <c r="AD132" t="str">
        <f t="shared" ref="AD132:AD195" si="24">K132&amp;","&amp;L132</f>
        <v>35.7006760546539,62.8926757724772</v>
      </c>
      <c r="AE132" t="str">
        <f t="shared" ref="AE132:AE195" si="25">O132&amp;","&amp;P132</f>
        <v>36.7474549217655,63.6081029249955</v>
      </c>
    </row>
    <row r="133" spans="2:31" x14ac:dyDescent="0.2">
      <c r="B133" s="3">
        <v>131</v>
      </c>
      <c r="C133" s="6">
        <v>30.148427672956</v>
      </c>
      <c r="D133" s="6">
        <v>60.4458635703919</v>
      </c>
      <c r="E133" s="8">
        <v>0</v>
      </c>
      <c r="F133" s="7"/>
      <c r="G133" s="10">
        <v>34.926386107734402</v>
      </c>
      <c r="H133" s="10">
        <v>60.675191905038297</v>
      </c>
      <c r="I133" s="10">
        <v>2.71391403025447E-2</v>
      </c>
      <c r="K133" s="10">
        <v>34.783799393099102</v>
      </c>
      <c r="L133" s="10">
        <v>63.0671701810044</v>
      </c>
      <c r="M133" s="10">
        <v>2.71391403025447E-2</v>
      </c>
      <c r="N133" s="13"/>
      <c r="O133" s="10">
        <v>35.845811410923403</v>
      </c>
      <c r="P133" s="10">
        <v>63.8492462236118</v>
      </c>
      <c r="Q133" s="10">
        <v>-9.9399710072766503E-2</v>
      </c>
      <c r="R133" s="13"/>
      <c r="S133" s="8">
        <v>0</v>
      </c>
      <c r="T133" s="13"/>
      <c r="U133" s="13">
        <f t="shared" si="18"/>
        <v>0</v>
      </c>
      <c r="V133" s="13">
        <f t="shared" si="19"/>
        <v>1.5549581989492074</v>
      </c>
      <c r="W133" s="13">
        <f t="shared" si="20"/>
        <v>1.5549581989492074</v>
      </c>
      <c r="X133" s="13">
        <f t="shared" si="21"/>
        <v>-5.6951838719935379</v>
      </c>
      <c r="Y133" s="13"/>
      <c r="Z133" s="13"/>
      <c r="AB133" t="str">
        <f t="shared" si="22"/>
        <v>30.148427672956,60.4458635703919</v>
      </c>
      <c r="AC133" t="str">
        <f t="shared" si="23"/>
        <v>34.9263861077344,60.6751919050383</v>
      </c>
      <c r="AD133" t="str">
        <f t="shared" si="24"/>
        <v>34.7837993930991,63.0671701810044</v>
      </c>
      <c r="AE133" t="str">
        <f t="shared" si="25"/>
        <v>35.8458114109234,63.8492462236118</v>
      </c>
    </row>
    <row r="134" spans="2:31" x14ac:dyDescent="0.2">
      <c r="B134" s="3">
        <v>132</v>
      </c>
      <c r="C134" s="6">
        <v>29.215094339622699</v>
      </c>
      <c r="D134" s="6">
        <v>60.4458635703919</v>
      </c>
      <c r="E134" s="8">
        <v>0</v>
      </c>
      <c r="F134" s="7"/>
      <c r="G134" s="10">
        <v>33.9933964686754</v>
      </c>
      <c r="H134" s="10">
        <v>60.649865150021299</v>
      </c>
      <c r="I134" s="10">
        <v>-0.14998245342309299</v>
      </c>
      <c r="K134" s="10">
        <v>33.850809754040199</v>
      </c>
      <c r="L134" s="10">
        <v>63.041843425987402</v>
      </c>
      <c r="M134" s="10">
        <v>-0.14998245342309299</v>
      </c>
      <c r="N134" s="13"/>
      <c r="O134" s="10">
        <v>34.917085090261402</v>
      </c>
      <c r="P134" s="10">
        <v>63.941866590814598</v>
      </c>
      <c r="Q134" s="10">
        <v>-0.234433789346187</v>
      </c>
      <c r="R134" s="13"/>
      <c r="S134" s="8">
        <v>0</v>
      </c>
      <c r="T134" s="13"/>
      <c r="U134" s="13">
        <f t="shared" si="18"/>
        <v>0</v>
      </c>
      <c r="V134" s="13">
        <f t="shared" si="19"/>
        <v>-8.593361582160675</v>
      </c>
      <c r="W134" s="13">
        <f t="shared" si="20"/>
        <v>-8.593361582160675</v>
      </c>
      <c r="X134" s="13">
        <f t="shared" si="21"/>
        <v>-13.432066704795519</v>
      </c>
      <c r="Y134" s="13"/>
      <c r="Z134" s="13"/>
      <c r="AB134" t="str">
        <f t="shared" si="22"/>
        <v>29.2150943396227,60.4458635703919</v>
      </c>
      <c r="AC134" t="str">
        <f t="shared" si="23"/>
        <v>33.9933964686754,60.6498651500213</v>
      </c>
      <c r="AD134" t="str">
        <f t="shared" si="24"/>
        <v>33.8508097540402,63.0418434259874</v>
      </c>
      <c r="AE134" t="str">
        <f t="shared" si="25"/>
        <v>34.9170850902614,63.9418665908146</v>
      </c>
    </row>
    <row r="135" spans="2:31" x14ac:dyDescent="0.2">
      <c r="B135" s="3">
        <v>133</v>
      </c>
      <c r="C135" s="6">
        <v>28.281761006289301</v>
      </c>
      <c r="D135" s="6">
        <v>60.4458635703919</v>
      </c>
      <c r="E135" s="8">
        <v>0</v>
      </c>
      <c r="F135" s="7"/>
      <c r="G135" s="10">
        <v>33.070541015424702</v>
      </c>
      <c r="H135" s="10">
        <v>60.7893245473972</v>
      </c>
      <c r="I135" s="10">
        <v>9.12675759553431E-2</v>
      </c>
      <c r="K135" s="10">
        <v>32.927954300789402</v>
      </c>
      <c r="L135" s="10">
        <v>63.181302823363403</v>
      </c>
      <c r="M135" s="10">
        <v>9.12675759553431E-2</v>
      </c>
      <c r="N135" s="13"/>
      <c r="O135" s="10">
        <v>34.009282134888998</v>
      </c>
      <c r="P135" s="10">
        <v>64.158672737702204</v>
      </c>
      <c r="Q135" s="10">
        <v>-4.0692874820602597E-2</v>
      </c>
      <c r="R135" s="13"/>
      <c r="S135" s="8">
        <v>0</v>
      </c>
      <c r="T135" s="13"/>
      <c r="U135" s="13">
        <f t="shared" si="18"/>
        <v>0</v>
      </c>
      <c r="V135" s="13">
        <f t="shared" si="19"/>
        <v>5.2292469086308326</v>
      </c>
      <c r="W135" s="13">
        <f t="shared" si="20"/>
        <v>5.2292469086308326</v>
      </c>
      <c r="X135" s="13">
        <f t="shared" si="21"/>
        <v>-2.3315299834747059</v>
      </c>
      <c r="Y135" s="13"/>
      <c r="Z135" s="13"/>
      <c r="AB135" t="str">
        <f t="shared" si="22"/>
        <v>28.2817610062893,60.4458635703919</v>
      </c>
      <c r="AC135" t="str">
        <f t="shared" si="23"/>
        <v>33.0705410154247,60.7893245473972</v>
      </c>
      <c r="AD135" t="str">
        <f t="shared" si="24"/>
        <v>32.9279543007894,63.1813028233634</v>
      </c>
      <c r="AE135" t="str">
        <f t="shared" si="25"/>
        <v>34.009282134889,64.1586727377022</v>
      </c>
    </row>
    <row r="136" spans="2:31" x14ac:dyDescent="0.2">
      <c r="B136" s="3">
        <v>134</v>
      </c>
      <c r="C136" s="6">
        <v>27.348427672955999</v>
      </c>
      <c r="D136" s="6">
        <v>60.4458635703919</v>
      </c>
      <c r="E136" s="8">
        <v>0</v>
      </c>
      <c r="F136" s="7"/>
      <c r="G136" s="10">
        <v>32.141092210728303</v>
      </c>
      <c r="H136" s="10">
        <v>60.7042596864991</v>
      </c>
      <c r="I136" s="10">
        <v>-0.167594945996938</v>
      </c>
      <c r="K136" s="10">
        <v>31.998505496093099</v>
      </c>
      <c r="L136" s="10">
        <v>63.096237962465302</v>
      </c>
      <c r="M136" s="10">
        <v>-0.167594945996938</v>
      </c>
      <c r="N136" s="13"/>
      <c r="O136" s="10">
        <v>33.076721452955297</v>
      </c>
      <c r="P136" s="10">
        <v>64.196642273153998</v>
      </c>
      <c r="Q136" s="10">
        <v>-0.25142529652990397</v>
      </c>
      <c r="R136" s="13"/>
      <c r="S136" s="8">
        <v>0</v>
      </c>
      <c r="T136" s="13"/>
      <c r="U136" s="13">
        <f t="shared" si="18"/>
        <v>0</v>
      </c>
      <c r="V136" s="13">
        <f t="shared" si="19"/>
        <v>-9.6024830733474982</v>
      </c>
      <c r="W136" s="13">
        <f t="shared" si="20"/>
        <v>-9.6024830733474982</v>
      </c>
      <c r="X136" s="13">
        <f t="shared" si="21"/>
        <v>-14.40560835398872</v>
      </c>
      <c r="Y136" s="13"/>
      <c r="Z136" s="13"/>
      <c r="AB136" t="str">
        <f t="shared" si="22"/>
        <v>27.348427672956,60.4458635703919</v>
      </c>
      <c r="AC136" t="str">
        <f t="shared" si="23"/>
        <v>32.1410922107283,60.7042596864991</v>
      </c>
      <c r="AD136" t="str">
        <f t="shared" si="24"/>
        <v>31.9985054960931,63.0962379624653</v>
      </c>
      <c r="AE136" t="str">
        <f t="shared" si="25"/>
        <v>33.0767214529553,64.196642273154</v>
      </c>
    </row>
    <row r="137" spans="2:31" x14ac:dyDescent="0.2">
      <c r="B137" s="3">
        <v>135</v>
      </c>
      <c r="C137" s="6">
        <v>26.415094339622701</v>
      </c>
      <c r="D137" s="6">
        <v>60.4458635703919</v>
      </c>
      <c r="E137" s="8">
        <v>0</v>
      </c>
      <c r="F137" s="7"/>
      <c r="G137" s="10">
        <v>31.220835989225399</v>
      </c>
      <c r="H137" s="10">
        <v>60.859950398798802</v>
      </c>
      <c r="I137" s="10">
        <v>5.8175152941141201E-2</v>
      </c>
      <c r="K137" s="10">
        <v>31.078249274590199</v>
      </c>
      <c r="L137" s="10">
        <v>63.251928674764898</v>
      </c>
      <c r="M137" s="10">
        <v>5.8175152941141201E-2</v>
      </c>
      <c r="N137" s="13"/>
      <c r="O137" s="10">
        <v>32.172733226865901</v>
      </c>
      <c r="P137" s="10">
        <v>64.4288413218231</v>
      </c>
      <c r="Q137" s="10">
        <v>-7.6321505474097703E-2</v>
      </c>
      <c r="R137" s="13"/>
      <c r="S137" s="8">
        <v>0</v>
      </c>
      <c r="T137" s="13"/>
      <c r="U137" s="13">
        <f t="shared" si="18"/>
        <v>0</v>
      </c>
      <c r="V137" s="13">
        <f t="shared" si="19"/>
        <v>3.3331907360554687</v>
      </c>
      <c r="W137" s="13">
        <f t="shared" si="20"/>
        <v>3.3331907360554687</v>
      </c>
      <c r="X137" s="13">
        <f t="shared" si="21"/>
        <v>-4.3729001497504072</v>
      </c>
      <c r="Y137" s="13"/>
      <c r="Z137" s="13"/>
      <c r="AB137" t="str">
        <f t="shared" si="22"/>
        <v>26.4150943396227,60.4458635703919</v>
      </c>
      <c r="AC137" t="str">
        <f t="shared" si="23"/>
        <v>31.2208359892254,60.8599503987988</v>
      </c>
      <c r="AD137" t="str">
        <f t="shared" si="24"/>
        <v>31.0782492745902,63.2519286747649</v>
      </c>
      <c r="AE137" t="str">
        <f t="shared" si="25"/>
        <v>32.1727332268659,64.4288413218231</v>
      </c>
    </row>
    <row r="138" spans="2:31" x14ac:dyDescent="0.2">
      <c r="B138" s="3">
        <v>136</v>
      </c>
      <c r="C138" s="6">
        <v>25.4817610062893</v>
      </c>
      <c r="D138" s="6">
        <v>60.4458635703919</v>
      </c>
      <c r="E138" s="8">
        <v>0</v>
      </c>
      <c r="F138" s="7"/>
      <c r="G138" s="10">
        <v>30.289081573112099</v>
      </c>
      <c r="H138" s="10">
        <v>60.8056842107585</v>
      </c>
      <c r="I138" s="10">
        <v>-0.15067064293947799</v>
      </c>
      <c r="K138" s="10">
        <v>30.146494858476899</v>
      </c>
      <c r="L138" s="10">
        <v>63.197662486724603</v>
      </c>
      <c r="M138" s="10">
        <v>-0.15067064293947799</v>
      </c>
      <c r="N138" s="13"/>
      <c r="O138" s="10">
        <v>31.242116894635998</v>
      </c>
      <c r="P138" s="10">
        <v>64.500005591636807</v>
      </c>
      <c r="Q138" s="10">
        <v>-0.24305696388861001</v>
      </c>
      <c r="R138" s="13"/>
      <c r="S138" s="8">
        <v>0</v>
      </c>
      <c r="T138" s="13"/>
      <c r="U138" s="13">
        <f t="shared" si="18"/>
        <v>0</v>
      </c>
      <c r="V138" s="13">
        <f t="shared" si="19"/>
        <v>-8.6327919369546855</v>
      </c>
      <c r="W138" s="13">
        <f t="shared" si="20"/>
        <v>-8.6327919369546855</v>
      </c>
      <c r="X138" s="13">
        <f t="shared" si="21"/>
        <v>-13.92613821208101</v>
      </c>
      <c r="Y138" s="13"/>
      <c r="Z138" s="13"/>
      <c r="AB138" t="str">
        <f t="shared" si="22"/>
        <v>25.4817610062893,60.4458635703919</v>
      </c>
      <c r="AC138" t="str">
        <f t="shared" si="23"/>
        <v>30.2890815731121,60.8056842107585</v>
      </c>
      <c r="AD138" t="str">
        <f t="shared" si="24"/>
        <v>30.1464948584769,63.1976624867246</v>
      </c>
      <c r="AE138" t="str">
        <f t="shared" si="25"/>
        <v>31.242116894636,64.5000055916368</v>
      </c>
    </row>
    <row r="139" spans="2:31" x14ac:dyDescent="0.2">
      <c r="B139" s="3">
        <v>137</v>
      </c>
      <c r="C139" s="6">
        <v>24.548427672955999</v>
      </c>
      <c r="D139" s="6">
        <v>60.4458635703919</v>
      </c>
      <c r="E139" s="8">
        <v>0</v>
      </c>
      <c r="F139" s="7"/>
      <c r="G139" s="10">
        <v>29.366322312883401</v>
      </c>
      <c r="H139" s="10">
        <v>60.945778674508098</v>
      </c>
      <c r="I139" s="10">
        <v>-0.15067064293947799</v>
      </c>
      <c r="K139" s="10">
        <v>29.223735598248201</v>
      </c>
      <c r="L139" s="10">
        <v>63.337756950474201</v>
      </c>
      <c r="M139" s="10">
        <v>-0.169215099757446</v>
      </c>
      <c r="N139" s="13"/>
      <c r="O139" s="10">
        <v>30.336217224854401</v>
      </c>
      <c r="P139" s="10">
        <v>64.724631724134099</v>
      </c>
      <c r="Q139" s="10">
        <v>-0.24958914679869201</v>
      </c>
      <c r="R139" s="13"/>
      <c r="S139" s="8">
        <v>0</v>
      </c>
      <c r="T139" s="13"/>
      <c r="U139" s="13">
        <f t="shared" si="18"/>
        <v>0</v>
      </c>
      <c r="V139" s="13">
        <f t="shared" si="19"/>
        <v>-8.6327919369546855</v>
      </c>
      <c r="W139" s="13">
        <f t="shared" si="20"/>
        <v>-9.6953110459868554</v>
      </c>
      <c r="X139" s="13">
        <f t="shared" si="21"/>
        <v>-14.300404723836193</v>
      </c>
      <c r="Y139" s="13"/>
      <c r="Z139" s="13"/>
      <c r="AB139" t="str">
        <f t="shared" si="22"/>
        <v>24.548427672956,60.4458635703919</v>
      </c>
      <c r="AC139" t="str">
        <f t="shared" si="23"/>
        <v>29.3663223128834,60.9457786745081</v>
      </c>
      <c r="AD139" t="str">
        <f t="shared" si="24"/>
        <v>29.2237355982482,63.3377569504742</v>
      </c>
      <c r="AE139" t="str">
        <f t="shared" si="25"/>
        <v>30.3362172248544,64.7246317241341</v>
      </c>
    </row>
    <row r="140" spans="2:31" x14ac:dyDescent="0.2">
      <c r="B140" s="3">
        <v>138</v>
      </c>
      <c r="C140" s="6">
        <v>23.615094339622701</v>
      </c>
      <c r="D140" s="6">
        <v>60.4458635703919</v>
      </c>
      <c r="E140" s="8">
        <v>0</v>
      </c>
      <c r="F140" s="7"/>
      <c r="G140" s="10">
        <v>28.443563052654699</v>
      </c>
      <c r="H140" s="10">
        <v>61.085873138257703</v>
      </c>
      <c r="I140" s="10">
        <v>3.2309348004444299E-3</v>
      </c>
      <c r="K140" s="10">
        <v>28.303732827317098</v>
      </c>
      <c r="L140" s="10">
        <v>63.494938414363403</v>
      </c>
      <c r="M140" s="10">
        <v>3.2309348004444299E-3</v>
      </c>
      <c r="N140" s="13"/>
      <c r="O140" s="10">
        <v>29.431804170656999</v>
      </c>
      <c r="P140" s="10">
        <v>64.955170524574299</v>
      </c>
      <c r="Q140" s="10">
        <v>-0.11892822143793701</v>
      </c>
      <c r="R140" s="13"/>
      <c r="S140" s="8">
        <v>0</v>
      </c>
      <c r="T140" s="13"/>
      <c r="U140" s="13">
        <f t="shared" si="18"/>
        <v>0</v>
      </c>
      <c r="V140" s="13">
        <f t="shared" si="19"/>
        <v>0.1851189279474087</v>
      </c>
      <c r="W140" s="13">
        <f t="shared" si="20"/>
        <v>0.1851189279474087</v>
      </c>
      <c r="X140" s="13">
        <f t="shared" si="21"/>
        <v>-6.81408515339107</v>
      </c>
      <c r="Y140" s="13"/>
      <c r="Z140" s="13"/>
      <c r="AB140" t="str">
        <f t="shared" si="22"/>
        <v>23.6150943396227,60.4458635703919</v>
      </c>
      <c r="AC140" t="str">
        <f t="shared" si="23"/>
        <v>28.4435630526547,61.0858731382577</v>
      </c>
      <c r="AD140" t="str">
        <f t="shared" si="24"/>
        <v>28.3037328273171,63.4949384143634</v>
      </c>
      <c r="AE140" t="str">
        <f t="shared" si="25"/>
        <v>29.431804170657,64.9551705245743</v>
      </c>
    </row>
    <row r="141" spans="2:31" x14ac:dyDescent="0.2">
      <c r="B141" s="3">
        <v>139</v>
      </c>
      <c r="C141" s="6">
        <v>22.6817610062893</v>
      </c>
      <c r="D141" s="6">
        <v>60.4458635703919</v>
      </c>
      <c r="E141" s="8">
        <v>0</v>
      </c>
      <c r="F141" s="7"/>
      <c r="G141" s="10">
        <v>27.5102345908223</v>
      </c>
      <c r="H141" s="10">
        <v>61.082857604357102</v>
      </c>
      <c r="I141" s="10">
        <v>-0.13486063561560899</v>
      </c>
      <c r="K141" s="10">
        <v>27.370404365484799</v>
      </c>
      <c r="L141" s="10">
        <v>63.491922880462802</v>
      </c>
      <c r="M141" s="10">
        <v>-0.13486063561560899</v>
      </c>
      <c r="N141" s="13"/>
      <c r="O141" s="10">
        <v>28.505063558113299</v>
      </c>
      <c r="P141" s="10">
        <v>65.065908721116003</v>
      </c>
      <c r="Q141" s="10">
        <v>-0.221281066980034</v>
      </c>
      <c r="R141" s="13"/>
      <c r="S141" s="8">
        <v>0</v>
      </c>
      <c r="T141" s="13"/>
      <c r="U141" s="13">
        <f t="shared" si="18"/>
        <v>0</v>
      </c>
      <c r="V141" s="13">
        <f t="shared" si="19"/>
        <v>-7.7269452432260701</v>
      </c>
      <c r="W141" s="13">
        <f t="shared" si="20"/>
        <v>-7.7269452432260701</v>
      </c>
      <c r="X141" s="13">
        <f t="shared" si="21"/>
        <v>-12.678471224107629</v>
      </c>
      <c r="Y141" s="13"/>
      <c r="Z141" s="13"/>
      <c r="AB141" t="str">
        <f t="shared" si="22"/>
        <v>22.6817610062893,60.4458635703919</v>
      </c>
      <c r="AC141" t="str">
        <f t="shared" si="23"/>
        <v>27.5102345908223,61.0828576043571</v>
      </c>
      <c r="AD141" t="str">
        <f t="shared" si="24"/>
        <v>27.3704043654848,63.4919228804628</v>
      </c>
      <c r="AE141" t="str">
        <f t="shared" si="25"/>
        <v>28.5050635581133,65.065908721116</v>
      </c>
    </row>
    <row r="142" spans="2:31" x14ac:dyDescent="0.2">
      <c r="B142" s="3">
        <v>140</v>
      </c>
      <c r="C142" s="6">
        <v>21.748427672956002</v>
      </c>
      <c r="D142" s="6">
        <v>60.4458635703919</v>
      </c>
      <c r="E142" s="8">
        <v>0</v>
      </c>
      <c r="F142" s="7"/>
      <c r="G142" s="10">
        <v>26.585375850723398</v>
      </c>
      <c r="H142" s="10">
        <v>61.208346336814003</v>
      </c>
      <c r="I142" s="10">
        <v>4.6213465132067602E-2</v>
      </c>
      <c r="K142" s="10">
        <v>26.445545625385801</v>
      </c>
      <c r="L142" s="10">
        <v>63.617411612919803</v>
      </c>
      <c r="M142" s="10">
        <v>4.6213465132067602E-2</v>
      </c>
      <c r="N142" s="13"/>
      <c r="O142" s="10">
        <v>27.5944876150492</v>
      </c>
      <c r="P142" s="10">
        <v>65.270756379203604</v>
      </c>
      <c r="Q142" s="10">
        <v>-8.1154137164781107E-2</v>
      </c>
      <c r="R142" s="13"/>
      <c r="S142" s="8">
        <v>0</v>
      </c>
      <c r="T142" s="13"/>
      <c r="U142" s="13">
        <f t="shared" si="18"/>
        <v>0</v>
      </c>
      <c r="V142" s="13">
        <f t="shared" si="19"/>
        <v>2.6478365087424631</v>
      </c>
      <c r="W142" s="13">
        <f t="shared" si="20"/>
        <v>2.6478365087424631</v>
      </c>
      <c r="X142" s="13">
        <f t="shared" si="21"/>
        <v>-4.6497895495677382</v>
      </c>
      <c r="Y142" s="13"/>
      <c r="Z142" s="13"/>
      <c r="AB142" t="str">
        <f t="shared" si="22"/>
        <v>21.748427672956,60.4458635703919</v>
      </c>
      <c r="AC142" t="str">
        <f t="shared" si="23"/>
        <v>26.5853758507234,61.208346336814</v>
      </c>
      <c r="AD142" t="str">
        <f t="shared" si="24"/>
        <v>26.4455456253858,63.6174116129198</v>
      </c>
      <c r="AE142" t="str">
        <f t="shared" si="25"/>
        <v>27.5944876150492,65.2707563792036</v>
      </c>
    </row>
    <row r="143" spans="2:31" x14ac:dyDescent="0.2">
      <c r="B143" s="3">
        <v>141</v>
      </c>
      <c r="C143" s="6">
        <v>20.8150943396227</v>
      </c>
      <c r="D143" s="6">
        <v>60.4458635703919</v>
      </c>
      <c r="E143" s="8">
        <v>0</v>
      </c>
      <c r="F143" s="7"/>
      <c r="G143" s="10">
        <v>25.653038992725801</v>
      </c>
      <c r="H143" s="10">
        <v>61.165229120642998</v>
      </c>
      <c r="I143" s="10">
        <v>4.6213465132067602E-2</v>
      </c>
      <c r="K143" s="10">
        <v>25.5132087673882</v>
      </c>
      <c r="L143" s="10">
        <v>63.574294396748797</v>
      </c>
      <c r="M143" s="10">
        <v>-4.4568780626574697E-2</v>
      </c>
      <c r="N143" s="13"/>
      <c r="O143" s="10">
        <v>26.664226059125099</v>
      </c>
      <c r="P143" s="10">
        <v>65.346417126495794</v>
      </c>
      <c r="Q143" s="10">
        <v>-0.15208139464239501</v>
      </c>
      <c r="R143" s="13"/>
      <c r="S143" s="8">
        <v>0</v>
      </c>
      <c r="T143" s="13"/>
      <c r="U143" s="13">
        <f t="shared" si="18"/>
        <v>0</v>
      </c>
      <c r="V143" s="13">
        <f t="shared" si="19"/>
        <v>2.6478365087424631</v>
      </c>
      <c r="W143" s="13">
        <f t="shared" si="20"/>
        <v>-2.5536030279471591</v>
      </c>
      <c r="X143" s="13">
        <f t="shared" si="21"/>
        <v>-8.7136220554727224</v>
      </c>
      <c r="Y143" s="13"/>
      <c r="Z143" s="13"/>
      <c r="AB143" t="str">
        <f t="shared" si="22"/>
        <v>20.8150943396227,60.4458635703919</v>
      </c>
      <c r="AC143" t="str">
        <f t="shared" si="23"/>
        <v>25.6530389927258,61.165229120643</v>
      </c>
      <c r="AD143" t="str">
        <f t="shared" si="24"/>
        <v>25.5132087673882,63.5742943967488</v>
      </c>
      <c r="AE143" t="str">
        <f t="shared" si="25"/>
        <v>26.6642260591251,65.3464171264958</v>
      </c>
    </row>
    <row r="144" spans="2:31" x14ac:dyDescent="0.2">
      <c r="B144" s="3">
        <v>142</v>
      </c>
      <c r="C144" s="6">
        <v>19.881761006289299</v>
      </c>
      <c r="D144" s="6">
        <v>60.4458635703919</v>
      </c>
      <c r="E144" s="8">
        <v>0</v>
      </c>
      <c r="F144" s="7"/>
      <c r="G144" s="10">
        <v>24.720702134728199</v>
      </c>
      <c r="H144" s="10">
        <v>61.122111904472</v>
      </c>
      <c r="I144" s="10">
        <v>-4.4568780626574697E-2</v>
      </c>
      <c r="K144" s="10">
        <v>24.580802256184601</v>
      </c>
      <c r="L144" s="10">
        <v>63.615878155311101</v>
      </c>
      <c r="M144" s="10">
        <v>-0.127225189512604</v>
      </c>
      <c r="N144" s="13"/>
      <c r="O144" s="10">
        <v>25.741665355581102</v>
      </c>
      <c r="P144" s="10">
        <v>65.487813234601902</v>
      </c>
      <c r="Q144" s="10">
        <v>-0.212970805881317</v>
      </c>
      <c r="R144" s="13"/>
      <c r="S144" s="8">
        <v>0</v>
      </c>
      <c r="T144" s="13"/>
      <c r="U144" s="13">
        <f t="shared" si="18"/>
        <v>0</v>
      </c>
      <c r="V144" s="13">
        <f t="shared" si="19"/>
        <v>-2.5536030279471591</v>
      </c>
      <c r="W144" s="13">
        <f t="shared" si="20"/>
        <v>-7.289466406824272</v>
      </c>
      <c r="X144" s="13">
        <f t="shared" si="21"/>
        <v>-12.202328336499395</v>
      </c>
      <c r="Y144" s="13"/>
      <c r="Z144" s="13"/>
      <c r="AB144" t="str">
        <f t="shared" si="22"/>
        <v>19.8817610062893,60.4458635703919</v>
      </c>
      <c r="AC144" t="str">
        <f t="shared" si="23"/>
        <v>24.7207021347282,61.122111904472</v>
      </c>
      <c r="AD144" t="str">
        <f t="shared" si="24"/>
        <v>24.5808022561846,63.6158781553111</v>
      </c>
      <c r="AE144" t="str">
        <f t="shared" si="25"/>
        <v>25.7416653555811,65.4878132346019</v>
      </c>
    </row>
    <row r="145" spans="2:31" x14ac:dyDescent="0.2">
      <c r="B145" s="3">
        <v>143</v>
      </c>
      <c r="C145" s="6">
        <v>18.948427672956001</v>
      </c>
      <c r="D145" s="6">
        <v>60.4458635703919</v>
      </c>
      <c r="E145" s="8">
        <v>0</v>
      </c>
      <c r="F145" s="7"/>
      <c r="G145" s="10">
        <v>23.788295623524601</v>
      </c>
      <c r="H145" s="10">
        <v>61.163695663034297</v>
      </c>
      <c r="I145" s="10">
        <v>6.2735665764050305E-2</v>
      </c>
      <c r="K145" s="10">
        <v>23.655012322461001</v>
      </c>
      <c r="L145" s="10">
        <v>63.734301589340198</v>
      </c>
      <c r="M145" s="10">
        <v>6.2735665764050305E-2</v>
      </c>
      <c r="N145" s="13"/>
      <c r="O145" s="10">
        <v>24.829418536793298</v>
      </c>
      <c r="P145" s="10">
        <v>65.685086782556397</v>
      </c>
      <c r="Q145" s="10">
        <v>-8.13451283835364E-2</v>
      </c>
      <c r="R145" s="13"/>
      <c r="S145" s="8">
        <v>0</v>
      </c>
      <c r="T145" s="13"/>
      <c r="U145" s="13">
        <f t="shared" si="18"/>
        <v>0</v>
      </c>
      <c r="V145" s="13">
        <f t="shared" si="19"/>
        <v>3.5944888732234537</v>
      </c>
      <c r="W145" s="13">
        <f t="shared" si="20"/>
        <v>3.5944888732234537</v>
      </c>
      <c r="X145" s="13">
        <f t="shared" si="21"/>
        <v>-4.6607325403264763</v>
      </c>
      <c r="Y145" s="13"/>
      <c r="Z145" s="13"/>
      <c r="AB145" t="str">
        <f t="shared" si="22"/>
        <v>18.948427672956,60.4458635703919</v>
      </c>
      <c r="AC145" t="str">
        <f t="shared" si="23"/>
        <v>23.7882956235246,61.1636956630343</v>
      </c>
      <c r="AD145" t="str">
        <f t="shared" si="24"/>
        <v>23.655012322461,63.7343015893402</v>
      </c>
      <c r="AE145" t="str">
        <f t="shared" si="25"/>
        <v>24.8294185367933,65.6850867825564</v>
      </c>
    </row>
    <row r="146" spans="2:31" x14ac:dyDescent="0.2">
      <c r="B146" s="3">
        <v>144</v>
      </c>
      <c r="C146" s="6">
        <v>18.015094339622699</v>
      </c>
      <c r="D146" s="6">
        <v>60.4458635703919</v>
      </c>
      <c r="E146" s="8">
        <v>0</v>
      </c>
      <c r="F146" s="7"/>
      <c r="G146" s="10">
        <v>22.856798377626301</v>
      </c>
      <c r="H146" s="10">
        <v>61.105180776081703</v>
      </c>
      <c r="I146" s="10">
        <v>-0.144306043671451</v>
      </c>
      <c r="K146" s="10">
        <v>22.723515076562801</v>
      </c>
      <c r="L146" s="10">
        <v>63.675786702387597</v>
      </c>
      <c r="M146" s="10">
        <v>-0.144306043671451</v>
      </c>
      <c r="N146" s="13"/>
      <c r="O146" s="10">
        <v>23.8991714483743</v>
      </c>
      <c r="P146" s="10">
        <v>65.760925200255798</v>
      </c>
      <c r="Q146" s="10">
        <v>-0.234768882805513</v>
      </c>
      <c r="R146" s="13"/>
      <c r="S146" s="8">
        <v>0</v>
      </c>
      <c r="T146" s="13"/>
      <c r="U146" s="13">
        <f t="shared" si="18"/>
        <v>0</v>
      </c>
      <c r="V146" s="13">
        <f t="shared" si="19"/>
        <v>-8.2681272606046861</v>
      </c>
      <c r="W146" s="13">
        <f t="shared" si="20"/>
        <v>-8.2681272606046861</v>
      </c>
      <c r="X146" s="13">
        <f t="shared" si="21"/>
        <v>-13.451266145757337</v>
      </c>
      <c r="Y146" s="13"/>
      <c r="Z146" s="13"/>
      <c r="AB146" t="str">
        <f t="shared" si="22"/>
        <v>18.0150943396227,60.4458635703919</v>
      </c>
      <c r="AC146" t="str">
        <f t="shared" si="23"/>
        <v>22.8567983776263,61.1051807760817</v>
      </c>
      <c r="AD146" t="str">
        <f t="shared" si="24"/>
        <v>22.7235150765628,63.6757867023876</v>
      </c>
      <c r="AE146" t="str">
        <f t="shared" si="25"/>
        <v>23.8991714483743,65.7609252002558</v>
      </c>
    </row>
    <row r="147" spans="2:31" x14ac:dyDescent="0.2">
      <c r="B147" s="3">
        <v>145</v>
      </c>
      <c r="C147" s="6">
        <v>17.081761006289302</v>
      </c>
      <c r="D147" s="6">
        <v>60.4458635703919</v>
      </c>
      <c r="E147" s="8">
        <v>0</v>
      </c>
      <c r="F147" s="7"/>
      <c r="G147" s="10">
        <v>21.933166167856101</v>
      </c>
      <c r="H147" s="10">
        <v>61.239399449097299</v>
      </c>
      <c r="I147" s="10">
        <v>-0.144306043671451</v>
      </c>
      <c r="K147" s="10">
        <v>21.799882866792501</v>
      </c>
      <c r="L147" s="10">
        <v>63.810005375403101</v>
      </c>
      <c r="M147" s="10">
        <v>-7.8766247910485906E-2</v>
      </c>
      <c r="N147" s="13"/>
      <c r="O147" s="10">
        <v>22.991441194289798</v>
      </c>
      <c r="P147" s="10">
        <v>65.978035533798106</v>
      </c>
      <c r="Q147" s="10">
        <v>-0.17182652307009699</v>
      </c>
      <c r="R147" s="13"/>
      <c r="S147" s="8">
        <v>0</v>
      </c>
      <c r="T147" s="13"/>
      <c r="U147" s="13">
        <f t="shared" si="18"/>
        <v>0</v>
      </c>
      <c r="V147" s="13">
        <f t="shared" si="19"/>
        <v>-8.2681272606046861</v>
      </c>
      <c r="W147" s="13">
        <f t="shared" si="20"/>
        <v>-4.5129735733519816</v>
      </c>
      <c r="X147" s="13">
        <f t="shared" si="21"/>
        <v>-9.8449345803238302</v>
      </c>
      <c r="Y147" s="13"/>
      <c r="Z147" s="13"/>
      <c r="AB147" t="str">
        <f t="shared" si="22"/>
        <v>17.0817610062893,60.4458635703919</v>
      </c>
      <c r="AC147" t="str">
        <f t="shared" si="23"/>
        <v>21.9331661678561,61.2393994490973</v>
      </c>
      <c r="AD147" t="str">
        <f t="shared" si="24"/>
        <v>21.7998828667925,63.8100053754031</v>
      </c>
      <c r="AE147" t="str">
        <f t="shared" si="25"/>
        <v>22.9914411942898,65.9780355337981</v>
      </c>
    </row>
    <row r="148" spans="2:31" x14ac:dyDescent="0.2">
      <c r="B148" s="3">
        <v>146</v>
      </c>
      <c r="C148" s="6">
        <v>16.148427672956</v>
      </c>
      <c r="D148" s="6">
        <v>60.4458635703919</v>
      </c>
      <c r="E148" s="8">
        <v>0</v>
      </c>
      <c r="F148" s="7"/>
      <c r="G148" s="10">
        <v>21.0095339580859</v>
      </c>
      <c r="H148" s="10">
        <v>61.373618122112902</v>
      </c>
      <c r="I148" s="10">
        <v>-7.8766247910485906E-2</v>
      </c>
      <c r="K148" s="10">
        <v>20.869443293736101</v>
      </c>
      <c r="L148" s="10">
        <v>63.883444547524</v>
      </c>
      <c r="M148" s="10">
        <v>-9.63076728333601E-2</v>
      </c>
      <c r="N148" s="13"/>
      <c r="O148" s="10">
        <v>22.071852027223699</v>
      </c>
      <c r="P148" s="10">
        <v>66.137618975688696</v>
      </c>
      <c r="Q148" s="10">
        <v>-0.19726495607670699</v>
      </c>
      <c r="R148" s="13"/>
      <c r="S148" s="8">
        <v>0</v>
      </c>
      <c r="T148" s="13"/>
      <c r="U148" s="13">
        <f t="shared" si="18"/>
        <v>0</v>
      </c>
      <c r="V148" s="13">
        <f t="shared" si="19"/>
        <v>-4.5129735733519816</v>
      </c>
      <c r="W148" s="13">
        <f t="shared" si="20"/>
        <v>-5.5180231880782689</v>
      </c>
      <c r="X148" s="13">
        <f t="shared" si="21"/>
        <v>-11.302449429028872</v>
      </c>
      <c r="Y148" s="13"/>
      <c r="Z148" s="13"/>
      <c r="AB148" t="str">
        <f t="shared" si="22"/>
        <v>16.148427672956,60.4458635703919</v>
      </c>
      <c r="AC148" t="str">
        <f t="shared" si="23"/>
        <v>21.0095339580859,61.3736181221129</v>
      </c>
      <c r="AD148" t="str">
        <f t="shared" si="24"/>
        <v>20.8694432937361,63.883444547524</v>
      </c>
      <c r="AE148" t="str">
        <f t="shared" si="25"/>
        <v>22.0718520272237,66.1376189756887</v>
      </c>
    </row>
    <row r="149" spans="2:31" x14ac:dyDescent="0.2">
      <c r="B149" s="3">
        <v>147</v>
      </c>
      <c r="C149" s="6">
        <v>15.2150943396227</v>
      </c>
      <c r="D149" s="6">
        <v>60.4458635703919</v>
      </c>
      <c r="E149" s="8">
        <v>0</v>
      </c>
      <c r="F149" s="7"/>
      <c r="G149" s="10">
        <v>20.079094385029499</v>
      </c>
      <c r="H149" s="10">
        <v>61.447057294233701</v>
      </c>
      <c r="I149" s="10">
        <v>3.6608019515009201E-2</v>
      </c>
      <c r="K149" s="10">
        <v>19.940435027536701</v>
      </c>
      <c r="L149" s="10">
        <v>63.973192820176799</v>
      </c>
      <c r="M149" s="10">
        <v>3.6608019515009201E-2</v>
      </c>
      <c r="N149" s="13"/>
      <c r="O149" s="10">
        <v>21.1566194984443</v>
      </c>
      <c r="P149" s="10">
        <v>66.320541170556496</v>
      </c>
      <c r="Q149" s="10">
        <v>-9.0293808937614406E-2</v>
      </c>
      <c r="R149" s="13"/>
      <c r="S149" s="8">
        <v>0</v>
      </c>
      <c r="T149" s="13"/>
      <c r="U149" s="13">
        <f t="shared" si="18"/>
        <v>0</v>
      </c>
      <c r="V149" s="13">
        <f t="shared" si="19"/>
        <v>2.0974850145425821</v>
      </c>
      <c r="W149" s="13">
        <f t="shared" si="20"/>
        <v>2.0974850145425821</v>
      </c>
      <c r="X149" s="13">
        <f t="shared" si="21"/>
        <v>-5.1734541682859376</v>
      </c>
      <c r="Y149" s="13"/>
      <c r="Z149" s="13"/>
      <c r="AB149" t="str">
        <f t="shared" si="22"/>
        <v>15.2150943396227,60.4458635703919</v>
      </c>
      <c r="AC149" t="str">
        <f t="shared" si="23"/>
        <v>20.0790943850295,61.4470572942337</v>
      </c>
      <c r="AD149" t="str">
        <f t="shared" si="24"/>
        <v>19.9404350275367,63.9731928201768</v>
      </c>
      <c r="AE149" t="str">
        <f t="shared" si="25"/>
        <v>21.1566194984443,66.3205411705565</v>
      </c>
    </row>
    <row r="150" spans="2:31" x14ac:dyDescent="0.2">
      <c r="B150" s="3">
        <v>148</v>
      </c>
      <c r="C150" s="6">
        <v>14.281761006289299</v>
      </c>
      <c r="D150" s="6">
        <v>60.4458635703919</v>
      </c>
      <c r="E150" s="8">
        <v>0</v>
      </c>
      <c r="F150" s="7"/>
      <c r="G150" s="10">
        <v>19.1463863838317</v>
      </c>
      <c r="H150" s="10">
        <v>61.412897440417602</v>
      </c>
      <c r="I150" s="10">
        <v>-0.118494142547119</v>
      </c>
      <c r="K150" s="10">
        <v>19.007727026338902</v>
      </c>
      <c r="L150" s="10">
        <v>63.939032966360699</v>
      </c>
      <c r="M150" s="10">
        <v>-0.118494142547119</v>
      </c>
      <c r="N150" s="13"/>
      <c r="O150" s="10">
        <v>20.227088301067099</v>
      </c>
      <c r="P150" s="10">
        <v>66.404700924676703</v>
      </c>
      <c r="Q150" s="10">
        <v>-0.19320657022100499</v>
      </c>
      <c r="R150" s="13"/>
      <c r="S150" s="8">
        <v>0</v>
      </c>
      <c r="T150" s="13"/>
      <c r="U150" s="13">
        <f t="shared" si="18"/>
        <v>0</v>
      </c>
      <c r="V150" s="13">
        <f t="shared" si="19"/>
        <v>-6.7892142649714771</v>
      </c>
      <c r="W150" s="13">
        <f t="shared" si="20"/>
        <v>-6.7892142649714771</v>
      </c>
      <c r="X150" s="13">
        <f t="shared" si="21"/>
        <v>-11.069921047861559</v>
      </c>
      <c r="Y150" s="13"/>
      <c r="Z150" s="13"/>
      <c r="AB150" t="str">
        <f t="shared" si="22"/>
        <v>14.2817610062893,60.4458635703919</v>
      </c>
      <c r="AC150" t="str">
        <f t="shared" si="23"/>
        <v>19.1463863838317,61.4128974404176</v>
      </c>
      <c r="AD150" t="str">
        <f t="shared" si="24"/>
        <v>19.0077270263389,63.9390329663607</v>
      </c>
      <c r="AE150" t="str">
        <f t="shared" si="25"/>
        <v>20.2270883010671,66.4047009246767</v>
      </c>
    </row>
    <row r="151" spans="2:31" x14ac:dyDescent="0.2">
      <c r="B151" s="3">
        <v>149</v>
      </c>
      <c r="C151" s="6">
        <v>13.348427672955999</v>
      </c>
      <c r="D151" s="6">
        <v>60.4458635703919</v>
      </c>
      <c r="E151" s="8">
        <v>0</v>
      </c>
      <c r="F151" s="7"/>
      <c r="G151" s="10">
        <v>18.219597789486301</v>
      </c>
      <c r="H151" s="10">
        <v>61.523233348001902</v>
      </c>
      <c r="I151" s="10">
        <v>-0.118494142547119</v>
      </c>
      <c r="K151" s="10">
        <v>18.080938431993498</v>
      </c>
      <c r="L151" s="10">
        <v>64.049368873944999</v>
      </c>
      <c r="M151" s="10">
        <v>-0.20246369124969699</v>
      </c>
      <c r="N151" s="13"/>
      <c r="O151" s="10">
        <v>19.3111209426336</v>
      </c>
      <c r="P151" s="10">
        <v>66.5839072565837</v>
      </c>
      <c r="Q151" s="10">
        <v>-0.29721767928661103</v>
      </c>
      <c r="R151" s="13"/>
      <c r="S151" s="8">
        <v>0</v>
      </c>
      <c r="T151" s="13"/>
      <c r="U151" s="13">
        <f t="shared" si="18"/>
        <v>0</v>
      </c>
      <c r="V151" s="13">
        <f t="shared" si="19"/>
        <v>-6.7892142649714771</v>
      </c>
      <c r="W151" s="13">
        <f t="shared" si="20"/>
        <v>-11.600315013247414</v>
      </c>
      <c r="X151" s="13">
        <f t="shared" si="21"/>
        <v>-17.029318619795681</v>
      </c>
      <c r="Y151" s="13"/>
      <c r="Z151" s="13"/>
      <c r="AB151" t="str">
        <f t="shared" si="22"/>
        <v>13.348427672956,60.4458635703919</v>
      </c>
      <c r="AC151" t="str">
        <f t="shared" si="23"/>
        <v>18.2195977894863,61.5232333480019</v>
      </c>
      <c r="AD151" t="str">
        <f t="shared" si="24"/>
        <v>18.0809384319935,64.049368873945</v>
      </c>
      <c r="AE151" t="str">
        <f t="shared" si="25"/>
        <v>19.3111209426336,66.5839072565837</v>
      </c>
    </row>
    <row r="152" spans="2:31" x14ac:dyDescent="0.2">
      <c r="B152" s="3">
        <v>150</v>
      </c>
      <c r="C152" s="6">
        <v>12.4150943396227</v>
      </c>
      <c r="D152" s="6">
        <v>60.4458635703919</v>
      </c>
      <c r="E152" s="8">
        <v>0</v>
      </c>
      <c r="F152" s="7"/>
      <c r="G152" s="10">
        <v>17.292809195141</v>
      </c>
      <c r="H152" s="10">
        <v>61.633569255586202</v>
      </c>
      <c r="I152" s="10">
        <v>6.7869320611647396E-2</v>
      </c>
      <c r="K152" s="10">
        <v>17.166669230876</v>
      </c>
      <c r="L152" s="10">
        <v>64.237046627019595</v>
      </c>
      <c r="M152" s="10">
        <v>6.7869320611647396E-2</v>
      </c>
      <c r="N152" s="13"/>
      <c r="O152" s="10">
        <v>18.418709588503699</v>
      </c>
      <c r="P152" s="10">
        <v>66.857244202734606</v>
      </c>
      <c r="Q152" s="10">
        <v>-7.1410027999779205E-2</v>
      </c>
      <c r="R152" s="13"/>
      <c r="S152" s="8">
        <v>0</v>
      </c>
      <c r="T152" s="13"/>
      <c r="U152" s="13">
        <f t="shared" si="18"/>
        <v>0</v>
      </c>
      <c r="V152" s="13">
        <f t="shared" si="19"/>
        <v>3.8886256294676431</v>
      </c>
      <c r="W152" s="13">
        <f t="shared" si="20"/>
        <v>3.8886256294676431</v>
      </c>
      <c r="X152" s="13">
        <f t="shared" si="21"/>
        <v>-4.0914932192983846</v>
      </c>
      <c r="Y152" s="13"/>
      <c r="Z152" s="13"/>
      <c r="AB152" t="str">
        <f t="shared" si="22"/>
        <v>12.4150943396227,60.4458635703919</v>
      </c>
      <c r="AC152" t="str">
        <f t="shared" si="23"/>
        <v>17.292809195141,61.6335692555862</v>
      </c>
      <c r="AD152" t="str">
        <f t="shared" si="24"/>
        <v>17.166669230876,64.2370466270196</v>
      </c>
      <c r="AE152" t="str">
        <f t="shared" si="25"/>
        <v>18.4187095885037,66.8572442027346</v>
      </c>
    </row>
    <row r="153" spans="2:31" x14ac:dyDescent="0.2">
      <c r="B153" s="3">
        <v>151</v>
      </c>
      <c r="C153" s="6">
        <v>11.4817610062893</v>
      </c>
      <c r="D153" s="6">
        <v>60.4458635703919</v>
      </c>
      <c r="E153" s="8">
        <v>0</v>
      </c>
      <c r="F153" s="7"/>
      <c r="G153" s="10">
        <v>16.3616246176605</v>
      </c>
      <c r="H153" s="10">
        <v>61.570273175346998</v>
      </c>
      <c r="I153" s="10">
        <v>-0.14575082271334799</v>
      </c>
      <c r="K153" s="10">
        <v>16.235484653395599</v>
      </c>
      <c r="L153" s="10">
        <v>64.173750546780397</v>
      </c>
      <c r="M153" s="10">
        <v>-0.14575082271334799</v>
      </c>
      <c r="N153" s="13"/>
      <c r="O153" s="10">
        <v>17.487754960396199</v>
      </c>
      <c r="P153" s="10">
        <v>66.923836931439197</v>
      </c>
      <c r="Q153" s="10">
        <v>-0.245652853828703</v>
      </c>
      <c r="R153" s="13"/>
      <c r="S153" s="8">
        <v>0</v>
      </c>
      <c r="T153" s="13"/>
      <c r="U153" s="13">
        <f t="shared" si="18"/>
        <v>0</v>
      </c>
      <c r="V153" s="13">
        <f t="shared" si="19"/>
        <v>-8.3509070020343383</v>
      </c>
      <c r="W153" s="13">
        <f t="shared" si="20"/>
        <v>-8.3509070020343383</v>
      </c>
      <c r="X153" s="13">
        <f t="shared" si="21"/>
        <v>-14.074871749728807</v>
      </c>
      <c r="Y153" s="13"/>
      <c r="Z153" s="13"/>
      <c r="AB153" t="str">
        <f t="shared" si="22"/>
        <v>11.4817610062893,60.4458635703919</v>
      </c>
      <c r="AC153" t="str">
        <f t="shared" si="23"/>
        <v>16.3616246176605,61.570273175347</v>
      </c>
      <c r="AD153" t="str">
        <f t="shared" si="24"/>
        <v>16.2354846533956,64.1737505467804</v>
      </c>
      <c r="AE153" t="str">
        <f t="shared" si="25"/>
        <v>17.4877549603962,66.9238369314392</v>
      </c>
    </row>
    <row r="154" spans="2:31" x14ac:dyDescent="0.2">
      <c r="B154" s="3">
        <v>152</v>
      </c>
      <c r="C154" s="6">
        <v>10.548427672956</v>
      </c>
      <c r="D154" s="6">
        <v>60.4458635703919</v>
      </c>
      <c r="E154" s="8">
        <v>0</v>
      </c>
      <c r="F154" s="7"/>
      <c r="G154" s="10">
        <v>15.438187288137099</v>
      </c>
      <c r="H154" s="10">
        <v>61.705826152274398</v>
      </c>
      <c r="I154" s="10">
        <v>3.4004174757703398E-2</v>
      </c>
      <c r="K154" s="10">
        <v>15.3120473238722</v>
      </c>
      <c r="L154" s="10">
        <v>64.309303523707797</v>
      </c>
      <c r="M154" s="10">
        <v>3.4004174757703398E-2</v>
      </c>
      <c r="N154" s="13"/>
      <c r="O154" s="10">
        <v>16.582441446943601</v>
      </c>
      <c r="P154" s="10">
        <v>67.150813920297495</v>
      </c>
      <c r="Q154" s="10">
        <v>-8.7922482959546494E-2</v>
      </c>
      <c r="R154" s="13"/>
      <c r="S154" s="8">
        <v>0</v>
      </c>
      <c r="T154" s="13"/>
      <c r="U154" s="13">
        <f t="shared" si="18"/>
        <v>0</v>
      </c>
      <c r="V154" s="13">
        <f t="shared" si="19"/>
        <v>1.9482956994416933</v>
      </c>
      <c r="W154" s="13">
        <f t="shared" si="20"/>
        <v>1.9482956994416933</v>
      </c>
      <c r="X154" s="13">
        <f t="shared" si="21"/>
        <v>-5.0375871978929139</v>
      </c>
      <c r="Y154" s="13"/>
      <c r="Z154" s="13"/>
      <c r="AB154" t="str">
        <f t="shared" si="22"/>
        <v>10.548427672956,60.4458635703919</v>
      </c>
      <c r="AC154" t="str">
        <f t="shared" si="23"/>
        <v>15.4381872881371,61.7058261522744</v>
      </c>
      <c r="AD154" t="str">
        <f t="shared" si="24"/>
        <v>15.3120473238722,64.3093035237078</v>
      </c>
      <c r="AE154" t="str">
        <f t="shared" si="25"/>
        <v>16.5824414469436,67.1508139202975</v>
      </c>
    </row>
    <row r="155" spans="2:31" x14ac:dyDescent="0.2">
      <c r="B155" s="3">
        <v>153</v>
      </c>
      <c r="C155" s="6">
        <v>9.6150943396226705</v>
      </c>
      <c r="D155" s="6">
        <v>60.4458635703919</v>
      </c>
      <c r="E155" s="8">
        <v>0</v>
      </c>
      <c r="F155" s="7"/>
      <c r="G155" s="10">
        <v>14.505393501965401</v>
      </c>
      <c r="H155" s="10">
        <v>61.674095038354899</v>
      </c>
      <c r="I155" s="10">
        <v>-0.16192098329726701</v>
      </c>
      <c r="K155" s="10">
        <v>14.3792535377005</v>
      </c>
      <c r="L155" s="10">
        <v>64.277572409788306</v>
      </c>
      <c r="M155" s="10">
        <v>-0.16192098329726701</v>
      </c>
      <c r="N155" s="13"/>
      <c r="O155" s="10">
        <v>15.6527132930047</v>
      </c>
      <c r="P155" s="10">
        <v>67.232769218385002</v>
      </c>
      <c r="Q155" s="10">
        <v>-0.25514711683372499</v>
      </c>
      <c r="R155" s="13"/>
      <c r="S155" s="8">
        <v>0</v>
      </c>
      <c r="T155" s="13"/>
      <c r="U155" s="13">
        <f t="shared" si="18"/>
        <v>0</v>
      </c>
      <c r="V155" s="13">
        <f t="shared" si="19"/>
        <v>-9.2773889575416959</v>
      </c>
      <c r="W155" s="13">
        <f t="shared" si="20"/>
        <v>-9.2773889575416959</v>
      </c>
      <c r="X155" s="13">
        <f t="shared" si="21"/>
        <v>-14.618852949503761</v>
      </c>
      <c r="Y155" s="13"/>
      <c r="Z155" s="13"/>
      <c r="AB155" t="str">
        <f t="shared" si="22"/>
        <v>9.61509433962267,60.4458635703919</v>
      </c>
      <c r="AC155" t="str">
        <f t="shared" si="23"/>
        <v>14.5053935019654,61.6740950383549</v>
      </c>
      <c r="AD155" t="str">
        <f t="shared" si="24"/>
        <v>14.3792535377005,64.2775724097883</v>
      </c>
      <c r="AE155" t="str">
        <f t="shared" si="25"/>
        <v>15.6527132930047,67.232769218385</v>
      </c>
    </row>
    <row r="156" spans="2:31" x14ac:dyDescent="0.2">
      <c r="B156" s="3">
        <v>154</v>
      </c>
      <c r="C156" s="6">
        <v>8.6817610062893404</v>
      </c>
      <c r="D156" s="6">
        <v>60.4458635703919</v>
      </c>
      <c r="E156" s="8">
        <v>0</v>
      </c>
      <c r="F156" s="7"/>
      <c r="G156" s="10">
        <v>13.5842687151651</v>
      </c>
      <c r="H156" s="10">
        <v>61.824561773061099</v>
      </c>
      <c r="I156" s="10">
        <v>4.28710319415017E-2</v>
      </c>
      <c r="K156" s="10">
        <v>13.458128750900199</v>
      </c>
      <c r="L156" s="10">
        <v>64.428039144494505</v>
      </c>
      <c r="M156" s="10">
        <v>4.28710319415017E-2</v>
      </c>
      <c r="N156" s="13"/>
      <c r="O156" s="10">
        <v>14.749595529044999</v>
      </c>
      <c r="P156" s="10">
        <v>67.468331132818307</v>
      </c>
      <c r="Q156" s="10">
        <v>-7.4094252894230703E-2</v>
      </c>
      <c r="R156" s="13"/>
      <c r="S156" s="8">
        <v>0</v>
      </c>
      <c r="T156" s="13"/>
      <c r="U156" s="13">
        <f t="shared" si="18"/>
        <v>0</v>
      </c>
      <c r="V156" s="13">
        <f t="shared" si="19"/>
        <v>2.4563291936185911</v>
      </c>
      <c r="W156" s="13">
        <f t="shared" si="20"/>
        <v>2.4563291936185911</v>
      </c>
      <c r="X156" s="13">
        <f t="shared" si="21"/>
        <v>-4.2452879770144039</v>
      </c>
      <c r="Y156" s="13"/>
      <c r="Z156" s="13"/>
      <c r="AB156" t="str">
        <f t="shared" si="22"/>
        <v>8.68176100628934,60.4458635703919</v>
      </c>
      <c r="AC156" t="str">
        <f t="shared" si="23"/>
        <v>13.5842687151651,61.8245617730611</v>
      </c>
      <c r="AD156" t="str">
        <f t="shared" si="24"/>
        <v>13.4581287509002,64.4280391444945</v>
      </c>
      <c r="AE156" t="str">
        <f t="shared" si="25"/>
        <v>14.749595529045,67.4683311328183</v>
      </c>
    </row>
    <row r="157" spans="2:31" x14ac:dyDescent="0.2">
      <c r="B157" s="3">
        <v>155</v>
      </c>
      <c r="C157" s="6">
        <v>7.7484276729560104</v>
      </c>
      <c r="D157" s="6">
        <v>60.4458635703919</v>
      </c>
      <c r="E157" s="8">
        <v>0</v>
      </c>
      <c r="F157" s="7"/>
      <c r="G157" s="10">
        <v>12.6517929489848</v>
      </c>
      <c r="H157" s="10">
        <v>61.784561065596101</v>
      </c>
      <c r="I157" s="10">
        <v>-0.14088353558913</v>
      </c>
      <c r="K157" s="10">
        <v>12.525652984719899</v>
      </c>
      <c r="L157" s="10">
        <v>64.388038437029493</v>
      </c>
      <c r="M157" s="10">
        <v>-0.14088353558913</v>
      </c>
      <c r="N157" s="13"/>
      <c r="O157" s="10">
        <v>13.818823004374501</v>
      </c>
      <c r="P157" s="10">
        <v>67.537422510208302</v>
      </c>
      <c r="Q157" s="10">
        <v>-0.24116788544394299</v>
      </c>
      <c r="R157" s="13"/>
      <c r="S157" s="8">
        <v>0</v>
      </c>
      <c r="T157" s="13"/>
      <c r="U157" s="13">
        <f t="shared" si="18"/>
        <v>0</v>
      </c>
      <c r="V157" s="13">
        <f t="shared" si="19"/>
        <v>-8.0720319921382799</v>
      </c>
      <c r="W157" s="13">
        <f t="shared" si="20"/>
        <v>-8.0720319921382799</v>
      </c>
      <c r="X157" s="13">
        <f t="shared" si="21"/>
        <v>-13.817901990032453</v>
      </c>
      <c r="Y157" s="13"/>
      <c r="Z157" s="13"/>
      <c r="AB157" t="str">
        <f t="shared" si="22"/>
        <v>7.74842767295601,60.4458635703919</v>
      </c>
      <c r="AC157" t="str">
        <f t="shared" si="23"/>
        <v>12.6517929489848,61.7845610655961</v>
      </c>
      <c r="AD157" t="str">
        <f t="shared" si="24"/>
        <v>12.5256529847199,64.3880384370295</v>
      </c>
      <c r="AE157" t="str">
        <f t="shared" si="25"/>
        <v>13.8188230043745,67.5374225102083</v>
      </c>
    </row>
    <row r="158" spans="2:31" x14ac:dyDescent="0.2">
      <c r="B158" s="3">
        <v>156</v>
      </c>
      <c r="C158" s="6">
        <v>6.8150943396226698</v>
      </c>
      <c r="D158" s="6">
        <v>60.4458635703919</v>
      </c>
      <c r="E158" s="8">
        <v>0</v>
      </c>
      <c r="F158" s="7"/>
      <c r="G158" s="10">
        <v>11.727706785124299</v>
      </c>
      <c r="H158" s="10">
        <v>61.915617819991503</v>
      </c>
      <c r="I158" s="10">
        <v>4.0557674737174698E-2</v>
      </c>
      <c r="K158" s="10">
        <v>11.6015668208594</v>
      </c>
      <c r="L158" s="10">
        <v>64.519095191424796</v>
      </c>
      <c r="M158" s="10">
        <v>4.0557674737174698E-2</v>
      </c>
      <c r="N158" s="13"/>
      <c r="O158" s="10">
        <v>12.9125006148645</v>
      </c>
      <c r="P158" s="10">
        <v>67.760336927381999</v>
      </c>
      <c r="Q158" s="10">
        <v>-8.0928326230321507E-2</v>
      </c>
      <c r="R158" s="13"/>
      <c r="S158" s="8">
        <v>0</v>
      </c>
      <c r="T158" s="13"/>
      <c r="U158" s="13">
        <f t="shared" si="18"/>
        <v>0</v>
      </c>
      <c r="V158" s="13">
        <f t="shared" si="19"/>
        <v>2.3237835893044707</v>
      </c>
      <c r="W158" s="13">
        <f t="shared" si="20"/>
        <v>2.3237835893044707</v>
      </c>
      <c r="X158" s="13">
        <f t="shared" si="21"/>
        <v>-4.636851536055298</v>
      </c>
      <c r="Y158" s="13"/>
      <c r="Z158" s="13"/>
      <c r="AB158" t="str">
        <f t="shared" si="22"/>
        <v>6.81509433962267,60.4458635703919</v>
      </c>
      <c r="AC158" t="str">
        <f t="shared" si="23"/>
        <v>11.7277067851243,61.9156178199915</v>
      </c>
      <c r="AD158" t="str">
        <f t="shared" si="24"/>
        <v>11.6015668208594,64.5190951914248</v>
      </c>
      <c r="AE158" t="str">
        <f t="shared" si="25"/>
        <v>12.9125006148645,67.760336927382</v>
      </c>
    </row>
    <row r="159" spans="2:31" x14ac:dyDescent="0.2">
      <c r="B159" s="3">
        <v>157</v>
      </c>
      <c r="C159" s="6">
        <v>5.8817610062893397</v>
      </c>
      <c r="D159" s="6">
        <v>60.4458635703919</v>
      </c>
      <c r="E159" s="8">
        <v>0</v>
      </c>
      <c r="F159" s="7"/>
      <c r="G159" s="10">
        <v>10.7951409782294</v>
      </c>
      <c r="H159" s="10">
        <v>61.8777743671683</v>
      </c>
      <c r="I159" s="10">
        <v>-0.125213421067881</v>
      </c>
      <c r="K159" s="10">
        <v>10.6690010139645</v>
      </c>
      <c r="L159" s="10">
        <v>64.481251738601699</v>
      </c>
      <c r="M159" s="10">
        <v>-0.125213421067881</v>
      </c>
      <c r="N159" s="13"/>
      <c r="O159" s="10">
        <v>11.9822219976338</v>
      </c>
      <c r="P159" s="10">
        <v>67.835787609515705</v>
      </c>
      <c r="Q159" s="10">
        <v>-0.21929417356428799</v>
      </c>
      <c r="R159" s="13"/>
      <c r="S159" s="8">
        <v>0</v>
      </c>
      <c r="T159" s="13"/>
      <c r="U159" s="13">
        <f t="shared" si="18"/>
        <v>0</v>
      </c>
      <c r="V159" s="13">
        <f t="shared" si="19"/>
        <v>-7.1742005655840462</v>
      </c>
      <c r="W159" s="13">
        <f t="shared" si="20"/>
        <v>-7.1742005655840462</v>
      </c>
      <c r="X159" s="13">
        <f t="shared" si="21"/>
        <v>-12.564630617043051</v>
      </c>
      <c r="Y159" s="13"/>
      <c r="Z159" s="13"/>
      <c r="AB159" t="str">
        <f t="shared" si="22"/>
        <v>5.88176100628934,60.4458635703919</v>
      </c>
      <c r="AC159" t="str">
        <f t="shared" si="23"/>
        <v>10.7951409782294,61.8777743671683</v>
      </c>
      <c r="AD159" t="str">
        <f t="shared" si="24"/>
        <v>10.6690010139645,64.4812517386017</v>
      </c>
      <c r="AE159" t="str">
        <f t="shared" si="25"/>
        <v>11.9822219976338,67.8357876095157</v>
      </c>
    </row>
    <row r="160" spans="2:31" x14ac:dyDescent="0.2">
      <c r="B160" s="3">
        <v>158</v>
      </c>
      <c r="C160" s="6">
        <v>4.9484276729559999</v>
      </c>
      <c r="D160" s="6">
        <v>60.4458635703919</v>
      </c>
      <c r="E160" s="8">
        <v>0</v>
      </c>
      <c r="F160" s="7"/>
      <c r="G160" s="10">
        <v>9.8691146775724192</v>
      </c>
      <c r="H160" s="10">
        <v>61.994335087836198</v>
      </c>
      <c r="I160" s="10">
        <v>-0.125213421067881</v>
      </c>
      <c r="K160" s="10">
        <v>9.7429747133075093</v>
      </c>
      <c r="L160" s="10">
        <v>64.597812459269605</v>
      </c>
      <c r="M160" s="10">
        <v>-0.114693559751244</v>
      </c>
      <c r="N160" s="13"/>
      <c r="O160" s="10">
        <v>11.0712408417348</v>
      </c>
      <c r="P160" s="10">
        <v>68.038825647104801</v>
      </c>
      <c r="Q160" s="10">
        <v>-0.21379688474196201</v>
      </c>
      <c r="R160" s="13"/>
      <c r="S160" s="8">
        <v>0</v>
      </c>
      <c r="T160" s="13"/>
      <c r="U160" s="13">
        <f t="shared" si="18"/>
        <v>0</v>
      </c>
      <c r="V160" s="13">
        <f t="shared" si="19"/>
        <v>-7.1742005655840462</v>
      </c>
      <c r="W160" s="13">
        <f t="shared" si="20"/>
        <v>-6.57145691107781</v>
      </c>
      <c r="X160" s="13">
        <f t="shared" si="21"/>
        <v>-12.249659168759331</v>
      </c>
      <c r="Y160" s="13"/>
      <c r="Z160" s="13"/>
      <c r="AB160" t="str">
        <f t="shared" si="22"/>
        <v>4.948427672956,60.4458635703919</v>
      </c>
      <c r="AC160" t="str">
        <f t="shared" si="23"/>
        <v>9.86911467757242,61.9943350878362</v>
      </c>
      <c r="AD160" t="str">
        <f t="shared" si="24"/>
        <v>9.74297471330751,64.5978124592696</v>
      </c>
      <c r="AE160" t="str">
        <f t="shared" si="25"/>
        <v>11.0712408417348,68.0388256471048</v>
      </c>
    </row>
    <row r="161" spans="2:31" x14ac:dyDescent="0.2">
      <c r="B161" s="3">
        <v>159</v>
      </c>
      <c r="C161" s="6">
        <v>4.0150943396226699</v>
      </c>
      <c r="D161" s="6">
        <v>60.4458635703919</v>
      </c>
      <c r="E161" s="8">
        <v>0</v>
      </c>
      <c r="F161" s="7"/>
      <c r="G161" s="10">
        <v>8.9430883769154192</v>
      </c>
      <c r="H161" s="10">
        <v>62.110895808504203</v>
      </c>
      <c r="I161" s="10">
        <v>-0.114693559751244</v>
      </c>
      <c r="K161" s="10">
        <v>8.8157734726777708</v>
      </c>
      <c r="L161" s="10">
        <v>64.704625241677803</v>
      </c>
      <c r="M161" s="10">
        <v>-0.14462871833809901</v>
      </c>
      <c r="N161" s="13"/>
      <c r="O161" s="10">
        <v>10.1591572976976</v>
      </c>
      <c r="P161" s="10">
        <v>68.236852715475905</v>
      </c>
      <c r="Q161" s="10">
        <v>-0.240397422663788</v>
      </c>
      <c r="R161" s="13"/>
      <c r="S161" s="8">
        <v>0</v>
      </c>
      <c r="T161" s="13"/>
      <c r="U161" s="13">
        <f t="shared" si="18"/>
        <v>0</v>
      </c>
      <c r="V161" s="13">
        <f t="shared" si="19"/>
        <v>-6.57145691107781</v>
      </c>
      <c r="W161" s="13">
        <f t="shared" si="20"/>
        <v>-8.2866151571594067</v>
      </c>
      <c r="X161" s="13">
        <f t="shared" si="21"/>
        <v>-13.773757724457656</v>
      </c>
      <c r="Y161" s="13"/>
      <c r="Z161" s="13"/>
      <c r="AB161" t="str">
        <f t="shared" si="22"/>
        <v>4.01509433962267,60.4458635703919</v>
      </c>
      <c r="AC161" t="str">
        <f t="shared" si="23"/>
        <v>8.94308837691542,62.1108958085042</v>
      </c>
      <c r="AD161" t="str">
        <f t="shared" si="24"/>
        <v>8.81577347267777,64.7046252416778</v>
      </c>
      <c r="AE161" t="str">
        <f t="shared" si="25"/>
        <v>10.1591572976976,68.2368527154759</v>
      </c>
    </row>
    <row r="162" spans="2:31" x14ac:dyDescent="0.2">
      <c r="B162" s="3">
        <v>160</v>
      </c>
      <c r="C162" s="6">
        <v>3.0817610062893399</v>
      </c>
      <c r="D162" s="6">
        <v>60.4458635703919</v>
      </c>
      <c r="E162" s="8">
        <v>0</v>
      </c>
      <c r="F162" s="7"/>
      <c r="G162" s="10">
        <v>8.0158871362856807</v>
      </c>
      <c r="H162" s="10">
        <v>62.217708590912402</v>
      </c>
      <c r="I162" s="10">
        <v>6.8600134740928895E-2</v>
      </c>
      <c r="K162" s="10">
        <v>7.8921846199561596</v>
      </c>
      <c r="L162" s="10">
        <v>64.839141940416198</v>
      </c>
      <c r="M162" s="10">
        <v>6.8600134740928895E-2</v>
      </c>
      <c r="N162" s="13"/>
      <c r="O162" s="10">
        <v>9.2526634299452208</v>
      </c>
      <c r="P162" s="10">
        <v>68.459068778888295</v>
      </c>
      <c r="Q162" s="10">
        <v>-5.7072349689661503E-2</v>
      </c>
      <c r="R162" s="13"/>
      <c r="S162" s="8">
        <v>0</v>
      </c>
      <c r="T162" s="13"/>
      <c r="U162" s="13">
        <f t="shared" si="18"/>
        <v>0</v>
      </c>
      <c r="V162" s="13">
        <f t="shared" si="19"/>
        <v>3.930498194684001</v>
      </c>
      <c r="W162" s="13">
        <f t="shared" si="20"/>
        <v>3.930498194684001</v>
      </c>
      <c r="X162" s="13">
        <f t="shared" si="21"/>
        <v>-3.2700047641123775</v>
      </c>
      <c r="Y162" s="13"/>
      <c r="Z162" s="13"/>
      <c r="AB162" t="str">
        <f t="shared" si="22"/>
        <v>3.08176100628934,60.4458635703919</v>
      </c>
      <c r="AC162" t="str">
        <f t="shared" si="23"/>
        <v>8.01588713628568,62.2177085909124</v>
      </c>
      <c r="AD162" t="str">
        <f t="shared" si="24"/>
        <v>7.89218461995616,64.8391419404162</v>
      </c>
      <c r="AE162" t="str">
        <f t="shared" si="25"/>
        <v>9.25266342994522,68.4590687788883</v>
      </c>
    </row>
    <row r="163" spans="2:31" x14ac:dyDescent="0.2">
      <c r="B163" s="3">
        <v>161</v>
      </c>
      <c r="C163" s="6">
        <v>2.1484276729560001</v>
      </c>
      <c r="D163" s="6">
        <v>60.4458635703919</v>
      </c>
      <c r="E163" s="8">
        <v>0</v>
      </c>
      <c r="F163" s="7"/>
      <c r="G163" s="10">
        <v>7.0847490651387099</v>
      </c>
      <c r="H163" s="10">
        <v>62.153732004790498</v>
      </c>
      <c r="I163" s="10">
        <v>-0.126897214811792</v>
      </c>
      <c r="K163" s="10">
        <v>6.9610465488091799</v>
      </c>
      <c r="L163" s="10">
        <v>64.775165354294401</v>
      </c>
      <c r="M163" s="10">
        <v>-0.126897214811792</v>
      </c>
      <c r="N163" s="13"/>
      <c r="O163" s="10">
        <v>8.32084973550357</v>
      </c>
      <c r="P163" s="10">
        <v>68.512307392338698</v>
      </c>
      <c r="Q163" s="10">
        <v>-0.23268093254276201</v>
      </c>
      <c r="R163" s="13"/>
      <c r="S163" s="8">
        <v>0</v>
      </c>
      <c r="T163" s="13"/>
      <c r="U163" s="13">
        <f t="shared" si="18"/>
        <v>0</v>
      </c>
      <c r="V163" s="13">
        <f t="shared" si="19"/>
        <v>-7.2706748406806794</v>
      </c>
      <c r="W163" s="13">
        <f t="shared" si="20"/>
        <v>-7.2706748406806794</v>
      </c>
      <c r="X163" s="13">
        <f t="shared" si="21"/>
        <v>-13.331635407868474</v>
      </c>
      <c r="Y163" s="13"/>
      <c r="Z163" s="13"/>
      <c r="AB163" t="str">
        <f t="shared" si="22"/>
        <v>2.148427672956,60.4458635703919</v>
      </c>
      <c r="AC163" t="str">
        <f t="shared" si="23"/>
        <v>7.08474906513871,62.1537320047905</v>
      </c>
      <c r="AD163" t="str">
        <f t="shared" si="24"/>
        <v>6.96104654880918,64.7751653542944</v>
      </c>
      <c r="AE163" t="str">
        <f t="shared" si="25"/>
        <v>8.32084973550357,68.5123073923387</v>
      </c>
    </row>
    <row r="164" spans="2:31" x14ac:dyDescent="0.2">
      <c r="B164" s="3">
        <v>162</v>
      </c>
      <c r="C164" s="6">
        <v>1.2150943396226701</v>
      </c>
      <c r="D164" s="6">
        <v>60.4458635703919</v>
      </c>
      <c r="E164" s="8">
        <v>0</v>
      </c>
      <c r="F164" s="7"/>
      <c r="G164" s="10">
        <v>6.1589203413179101</v>
      </c>
      <c r="H164" s="10">
        <v>62.271851796779202</v>
      </c>
      <c r="I164" s="10">
        <v>-0.126897214811792</v>
      </c>
      <c r="K164" s="10">
        <v>6.0352178249883801</v>
      </c>
      <c r="L164" s="10">
        <v>64.893285146283105</v>
      </c>
      <c r="M164" s="10">
        <v>-0.12846514490521399</v>
      </c>
      <c r="N164" s="13"/>
      <c r="O164" s="10">
        <v>7.4126681448112697</v>
      </c>
      <c r="P164" s="10">
        <v>68.727521958385495</v>
      </c>
      <c r="Q164" s="10">
        <v>-0.210826621243413</v>
      </c>
      <c r="R164" s="13"/>
      <c r="S164" s="8">
        <v>0</v>
      </c>
      <c r="T164" s="13"/>
      <c r="U164" s="13">
        <f t="shared" si="18"/>
        <v>0</v>
      </c>
      <c r="V164" s="13">
        <f t="shared" si="19"/>
        <v>-7.2706748406806794</v>
      </c>
      <c r="W164" s="13">
        <f t="shared" si="20"/>
        <v>-7.3605106176053114</v>
      </c>
      <c r="X164" s="13">
        <f t="shared" si="21"/>
        <v>-12.079475606250709</v>
      </c>
      <c r="Y164" s="13"/>
      <c r="Z164" s="13"/>
      <c r="AB164" t="str">
        <f t="shared" si="22"/>
        <v>1.21509433962267,60.4458635703919</v>
      </c>
      <c r="AC164" t="str">
        <f t="shared" si="23"/>
        <v>6.15892034131791,62.2718517967792</v>
      </c>
      <c r="AD164" t="str">
        <f t="shared" si="24"/>
        <v>6.03521782498838,64.8932851462831</v>
      </c>
      <c r="AE164" t="str">
        <f t="shared" si="25"/>
        <v>7.41266814481127,68.7275219583855</v>
      </c>
    </row>
    <row r="165" spans="2:31" x14ac:dyDescent="0.2">
      <c r="B165" s="3">
        <v>163</v>
      </c>
      <c r="C165" s="6">
        <v>0.28176100628933698</v>
      </c>
      <c r="D165" s="6">
        <v>60.4458635703919</v>
      </c>
      <c r="E165" s="8">
        <v>0</v>
      </c>
      <c r="F165" s="7"/>
      <c r="G165" s="10">
        <v>5.2330916174971103</v>
      </c>
      <c r="H165" s="10">
        <v>62.389971588767899</v>
      </c>
      <c r="I165" s="10">
        <v>0.10477318142497399</v>
      </c>
      <c r="K165" s="10">
        <v>5.10957544269883</v>
      </c>
      <c r="L165" s="10">
        <v>65.012856427201399</v>
      </c>
      <c r="M165" s="10">
        <v>0.10477318142497399</v>
      </c>
      <c r="N165" s="13"/>
      <c r="O165" s="10">
        <v>6.5000004324757699</v>
      </c>
      <c r="P165" s="10">
        <v>68.922839028738807</v>
      </c>
      <c r="Q165" s="10">
        <v>-4.4555254144179199E-2</v>
      </c>
      <c r="R165" s="13"/>
      <c r="S165" s="8">
        <v>0</v>
      </c>
      <c r="T165" s="13"/>
      <c r="U165" s="13">
        <f t="shared" si="18"/>
        <v>0</v>
      </c>
      <c r="V165" s="13">
        <f t="shared" si="19"/>
        <v>6.0030611018094824</v>
      </c>
      <c r="W165" s="13">
        <f t="shared" si="20"/>
        <v>6.0030611018094824</v>
      </c>
      <c r="X165" s="13">
        <f t="shared" si="21"/>
        <v>-2.5528280175942388</v>
      </c>
      <c r="Y165" s="13"/>
      <c r="Z165" s="13"/>
      <c r="AB165" t="str">
        <f t="shared" si="22"/>
        <v>0.281761006289337,60.4458635703919</v>
      </c>
      <c r="AC165" t="str">
        <f t="shared" si="23"/>
        <v>5.23309161749711,62.3899715887679</v>
      </c>
      <c r="AD165" t="str">
        <f t="shared" si="24"/>
        <v>5.10957544269883,65.0128564272014</v>
      </c>
      <c r="AE165" t="str">
        <f t="shared" si="25"/>
        <v>6.50000043247577,68.9228390287388</v>
      </c>
    </row>
    <row r="166" spans="2:31" x14ac:dyDescent="0.2">
      <c r="B166" s="3">
        <v>164</v>
      </c>
      <c r="C166" s="6">
        <v>-0.65157232704399604</v>
      </c>
      <c r="D166" s="6">
        <v>60.4458635703919</v>
      </c>
      <c r="E166" s="8">
        <v>0</v>
      </c>
      <c r="F166" s="7"/>
      <c r="G166" s="10">
        <v>4.3048763954097398</v>
      </c>
      <c r="H166" s="10">
        <v>62.292362098468999</v>
      </c>
      <c r="I166" s="10">
        <v>0.272556851650886</v>
      </c>
      <c r="K166" s="10">
        <v>4.1813602206114702</v>
      </c>
      <c r="L166" s="10">
        <v>64.915246936902406</v>
      </c>
      <c r="M166" s="10">
        <v>0.272556851650886</v>
      </c>
      <c r="N166" s="13"/>
      <c r="O166" s="10">
        <v>5.5675933588754596</v>
      </c>
      <c r="P166" s="10">
        <v>68.964410175117095</v>
      </c>
      <c r="Q166" s="10">
        <v>0.13726588903114201</v>
      </c>
      <c r="R166" s="13"/>
      <c r="S166" s="8">
        <v>0</v>
      </c>
      <c r="T166" s="13"/>
      <c r="U166" s="13">
        <f t="shared" si="18"/>
        <v>0</v>
      </c>
      <c r="V166" s="13">
        <f t="shared" si="19"/>
        <v>15.616357276969051</v>
      </c>
      <c r="W166" s="13">
        <f t="shared" si="20"/>
        <v>15.616357276969051</v>
      </c>
      <c r="X166" s="13">
        <f t="shared" si="21"/>
        <v>7.8647561125955381</v>
      </c>
      <c r="Y166" s="13"/>
      <c r="Z166" s="13"/>
      <c r="AB166" t="str">
        <f t="shared" si="22"/>
        <v>-0.651572327043996,60.4458635703919</v>
      </c>
      <c r="AC166" t="str">
        <f t="shared" si="23"/>
        <v>4.30487639540974,62.292362098469</v>
      </c>
      <c r="AD166" t="str">
        <f t="shared" si="24"/>
        <v>4.18136022061147,64.9152469369024</v>
      </c>
      <c r="AE166" t="str">
        <f t="shared" si="25"/>
        <v>5.56759335887546,68.9644101751171</v>
      </c>
    </row>
    <row r="167" spans="2:31" x14ac:dyDescent="0.2">
      <c r="B167" s="3">
        <v>165</v>
      </c>
      <c r="C167" s="6">
        <v>-0.65157232704399604</v>
      </c>
      <c r="D167" s="6">
        <v>60.4458635703919</v>
      </c>
      <c r="E167" s="8">
        <v>1.5707963267949001</v>
      </c>
      <c r="F167" s="7"/>
      <c r="G167" s="10">
        <v>4.3048763954097398</v>
      </c>
      <c r="H167" s="10">
        <v>62.292362098468999</v>
      </c>
      <c r="I167" s="10">
        <v>1.41605025831267</v>
      </c>
      <c r="K167" s="10">
        <v>4.1813602206114702</v>
      </c>
      <c r="L167" s="10">
        <v>64.915246936902406</v>
      </c>
      <c r="M167" s="10">
        <v>1.41605025831267</v>
      </c>
      <c r="N167" s="13"/>
      <c r="O167" s="10">
        <v>5.5675933588754596</v>
      </c>
      <c r="P167" s="10">
        <v>68.964410175117095</v>
      </c>
      <c r="Q167" s="10">
        <v>1.3299158949722201</v>
      </c>
      <c r="R167" s="13"/>
      <c r="S167" s="8">
        <v>1.5707963267949001</v>
      </c>
      <c r="T167" s="13"/>
      <c r="U167" s="13">
        <f t="shared" si="18"/>
        <v>0</v>
      </c>
      <c r="V167" s="13">
        <f t="shared" si="19"/>
        <v>-8.8662966202741966</v>
      </c>
      <c r="W167" s="13">
        <f t="shared" si="20"/>
        <v>-8.8662966202741966</v>
      </c>
      <c r="X167" s="13">
        <f t="shared" si="21"/>
        <v>-13.801432110728333</v>
      </c>
      <c r="Y167" s="13"/>
      <c r="Z167" s="13"/>
      <c r="AB167" t="str">
        <f t="shared" si="22"/>
        <v>-0.651572327043996,60.4458635703919</v>
      </c>
      <c r="AC167" t="str">
        <f t="shared" si="23"/>
        <v>4.30487639540974,62.292362098469</v>
      </c>
      <c r="AD167" t="str">
        <f t="shared" si="24"/>
        <v>4.18136022061147,64.9152469369024</v>
      </c>
      <c r="AE167" t="str">
        <f t="shared" si="25"/>
        <v>5.56759335887546,68.9644101751171</v>
      </c>
    </row>
    <row r="168" spans="2:31" x14ac:dyDescent="0.2">
      <c r="B168" s="3">
        <v>166</v>
      </c>
      <c r="C168" s="6">
        <v>-0.65157232704399604</v>
      </c>
      <c r="D168" s="6">
        <v>59.658363570391899</v>
      </c>
      <c r="E168" s="8">
        <v>1.5707963267949001</v>
      </c>
      <c r="F168" s="7"/>
      <c r="G168" s="10">
        <v>4.1834996448587001</v>
      </c>
      <c r="H168" s="10">
        <v>61.514272171515998</v>
      </c>
      <c r="I168" s="10">
        <v>1.41605025831267</v>
      </c>
      <c r="K168" s="10">
        <v>4.0599834700604198</v>
      </c>
      <c r="L168" s="10">
        <v>64.137157009949505</v>
      </c>
      <c r="M168" s="10">
        <v>1.5093844165872901</v>
      </c>
      <c r="N168" s="13"/>
      <c r="O168" s="10">
        <v>5.3797291456724201</v>
      </c>
      <c r="P168" s="10">
        <v>68.199646625124302</v>
      </c>
      <c r="Q168" s="10">
        <v>1.44008265698451</v>
      </c>
      <c r="R168" s="13"/>
      <c r="S168" s="8">
        <v>1.5707963267949001</v>
      </c>
      <c r="T168" s="13"/>
      <c r="U168" s="13">
        <f t="shared" si="18"/>
        <v>0</v>
      </c>
      <c r="V168" s="13">
        <f t="shared" si="19"/>
        <v>-8.8662966202741966</v>
      </c>
      <c r="W168" s="13">
        <f t="shared" si="20"/>
        <v>-3.5186432667324357</v>
      </c>
      <c r="X168" s="13">
        <f t="shared" si="21"/>
        <v>-7.4893416048019583</v>
      </c>
      <c r="Y168" s="13"/>
      <c r="Z168" s="13"/>
      <c r="AB168" t="str">
        <f t="shared" si="22"/>
        <v>-0.651572327043996,59.6583635703919</v>
      </c>
      <c r="AC168" t="str">
        <f t="shared" si="23"/>
        <v>4.1834996448587,61.514272171516</v>
      </c>
      <c r="AD168" t="str">
        <f t="shared" si="24"/>
        <v>4.05998347006042,64.1371570099495</v>
      </c>
      <c r="AE168" t="str">
        <f t="shared" si="25"/>
        <v>5.37972914567242,68.1996466251243</v>
      </c>
    </row>
    <row r="169" spans="2:31" x14ac:dyDescent="0.2">
      <c r="B169" s="3">
        <v>167</v>
      </c>
      <c r="C169" s="6">
        <v>-0.65157232704399604</v>
      </c>
      <c r="D169" s="6">
        <v>58.870863570391897</v>
      </c>
      <c r="E169" s="8">
        <v>1.5707963267949001</v>
      </c>
      <c r="F169" s="7"/>
      <c r="G169" s="10">
        <v>4.0621228943076497</v>
      </c>
      <c r="H169" s="10">
        <v>60.736182244562997</v>
      </c>
      <c r="I169" s="10">
        <v>1.1468585353123899</v>
      </c>
      <c r="K169" s="10">
        <v>4.0116519838884503</v>
      </c>
      <c r="L169" s="10">
        <v>63.351141540989502</v>
      </c>
      <c r="M169" s="10">
        <v>1.1468585353123899</v>
      </c>
      <c r="N169" s="13"/>
      <c r="O169" s="10">
        <v>5.2770850117708097</v>
      </c>
      <c r="P169" s="10">
        <v>67.418864689001495</v>
      </c>
      <c r="Q169" s="10">
        <v>1.0350699735019899</v>
      </c>
      <c r="R169" s="13"/>
      <c r="S169" s="8">
        <v>1.5707963267949001</v>
      </c>
      <c r="T169" s="13"/>
      <c r="U169" s="13">
        <f t="shared" si="18"/>
        <v>0</v>
      </c>
      <c r="V169" s="13">
        <f t="shared" si="19"/>
        <v>-24.289846228044972</v>
      </c>
      <c r="W169" s="13">
        <f t="shared" si="20"/>
        <v>-24.289846228044972</v>
      </c>
      <c r="X169" s="13">
        <f t="shared" si="21"/>
        <v>-30.694859017618224</v>
      </c>
      <c r="Y169" s="13"/>
      <c r="Z169" s="13"/>
      <c r="AB169" t="str">
        <f t="shared" si="22"/>
        <v>-0.651572327043996,58.8708635703919</v>
      </c>
      <c r="AC169" t="str">
        <f t="shared" si="23"/>
        <v>4.06212289430765,60.736182244563</v>
      </c>
      <c r="AD169" t="str">
        <f t="shared" si="24"/>
        <v>4.01165198388845,63.3511415409895</v>
      </c>
      <c r="AE169" t="str">
        <f t="shared" si="25"/>
        <v>5.27708501177081,67.4188646890015</v>
      </c>
    </row>
    <row r="170" spans="2:31" x14ac:dyDescent="0.2">
      <c r="B170" s="3">
        <v>168</v>
      </c>
      <c r="C170" s="6">
        <v>-0.65157232704399604</v>
      </c>
      <c r="D170" s="6">
        <v>58.083363570391903</v>
      </c>
      <c r="E170" s="8">
        <v>1.5707963267949001</v>
      </c>
      <c r="F170" s="7"/>
      <c r="G170" s="10">
        <v>3.7381825357879999</v>
      </c>
      <c r="H170" s="10">
        <v>60.018394745283402</v>
      </c>
      <c r="I170" s="10">
        <v>1.4923881119537199</v>
      </c>
      <c r="K170" s="10">
        <v>3.6877116253688</v>
      </c>
      <c r="L170" s="10">
        <v>62.633354041709801</v>
      </c>
      <c r="M170" s="10">
        <v>1.4923881119537199</v>
      </c>
      <c r="N170" s="13"/>
      <c r="O170" s="10">
        <v>4.8750932227530104</v>
      </c>
      <c r="P170" s="10">
        <v>66.741694952847993</v>
      </c>
      <c r="Q170" s="10">
        <v>1.4359429072854599</v>
      </c>
      <c r="R170" s="13"/>
      <c r="S170" s="8">
        <v>1.5707963267949001</v>
      </c>
      <c r="T170" s="13"/>
      <c r="U170" s="13">
        <f t="shared" si="18"/>
        <v>0</v>
      </c>
      <c r="V170" s="13">
        <f t="shared" si="19"/>
        <v>-4.4924597895546503</v>
      </c>
      <c r="W170" s="13">
        <f t="shared" si="20"/>
        <v>-4.4924597895546503</v>
      </c>
      <c r="X170" s="13">
        <f t="shared" si="21"/>
        <v>-7.7265317907980791</v>
      </c>
      <c r="Y170" s="13"/>
      <c r="Z170" s="13"/>
      <c r="AB170" t="str">
        <f t="shared" si="22"/>
        <v>-0.651572327043996,58.0833635703919</v>
      </c>
      <c r="AC170" t="str">
        <f t="shared" si="23"/>
        <v>3.738182535788,60.0183947452834</v>
      </c>
      <c r="AD170" t="str">
        <f t="shared" si="24"/>
        <v>3.6877116253688,62.6333540417098</v>
      </c>
      <c r="AE170" t="str">
        <f t="shared" si="25"/>
        <v>4.87509322275301,66.741694952848</v>
      </c>
    </row>
    <row r="171" spans="2:31" x14ac:dyDescent="0.2">
      <c r="B171" s="3">
        <v>169</v>
      </c>
      <c r="C171" s="6">
        <v>-0.65157232704399604</v>
      </c>
      <c r="D171" s="6">
        <v>57.295863570391901</v>
      </c>
      <c r="E171" s="8">
        <v>1.5707963267949001</v>
      </c>
      <c r="F171" s="7"/>
      <c r="G171" s="10">
        <v>3.67649931514143</v>
      </c>
      <c r="H171" s="10">
        <v>59.233314220565902</v>
      </c>
      <c r="I171" s="10">
        <v>1.59865739228674</v>
      </c>
      <c r="K171" s="10">
        <v>3.6260284047222302</v>
      </c>
      <c r="L171" s="10">
        <v>61.8482735169923</v>
      </c>
      <c r="M171" s="10">
        <v>1.59865739228674</v>
      </c>
      <c r="N171" s="13"/>
      <c r="O171" s="10">
        <v>4.7692177358304901</v>
      </c>
      <c r="P171" s="10">
        <v>65.961344626860395</v>
      </c>
      <c r="Q171" s="10">
        <v>1.5299398309410901</v>
      </c>
      <c r="R171" s="13"/>
      <c r="S171" s="8">
        <v>1.5707963267949001</v>
      </c>
      <c r="T171" s="13"/>
      <c r="U171" s="13">
        <f t="shared" si="18"/>
        <v>0</v>
      </c>
      <c r="V171" s="13">
        <f t="shared" si="19"/>
        <v>1.5963214654200033</v>
      </c>
      <c r="W171" s="13">
        <f t="shared" si="20"/>
        <v>1.5963214654200033</v>
      </c>
      <c r="X171" s="13">
        <f t="shared" si="21"/>
        <v>-2.3409047781170607</v>
      </c>
      <c r="Y171" s="13"/>
      <c r="Z171" s="13"/>
      <c r="AB171" t="str">
        <f t="shared" si="22"/>
        <v>-0.651572327043996,57.2958635703919</v>
      </c>
      <c r="AC171" t="str">
        <f t="shared" si="23"/>
        <v>3.67649931514143,59.2333142205659</v>
      </c>
      <c r="AD171" t="str">
        <f t="shared" si="24"/>
        <v>3.62602840472223,61.8482735169923</v>
      </c>
      <c r="AE171" t="str">
        <f t="shared" si="25"/>
        <v>4.76921773583049,65.9613446268604</v>
      </c>
    </row>
    <row r="172" spans="2:31" x14ac:dyDescent="0.2">
      <c r="B172" s="3">
        <v>170</v>
      </c>
      <c r="C172" s="6">
        <v>-0.65157232704399604</v>
      </c>
      <c r="D172" s="6">
        <v>56.5083635703919</v>
      </c>
      <c r="E172" s="8">
        <v>1.5707963267949001</v>
      </c>
      <c r="F172" s="7"/>
      <c r="G172" s="10">
        <v>3.6984370658030499</v>
      </c>
      <c r="H172" s="10">
        <v>58.4461198448899</v>
      </c>
      <c r="I172" s="10">
        <v>1.43860871702273</v>
      </c>
      <c r="K172" s="10">
        <v>3.6479661553838398</v>
      </c>
      <c r="L172" s="10">
        <v>61.061079141316299</v>
      </c>
      <c r="M172" s="10">
        <v>1.43860871702273</v>
      </c>
      <c r="N172" s="13"/>
      <c r="O172" s="10">
        <v>4.7370521958273804</v>
      </c>
      <c r="P172" s="10">
        <v>65.174501803905102</v>
      </c>
      <c r="Q172" s="10">
        <v>1.3473776327478399</v>
      </c>
      <c r="R172" s="13"/>
      <c r="S172" s="8">
        <v>1.5707963267949001</v>
      </c>
      <c r="T172" s="13"/>
      <c r="U172" s="13">
        <f t="shared" si="18"/>
        <v>0</v>
      </c>
      <c r="V172" s="13">
        <f t="shared" si="19"/>
        <v>-7.5737921438676272</v>
      </c>
      <c r="W172" s="13">
        <f t="shared" si="20"/>
        <v>-7.5737921438676272</v>
      </c>
      <c r="X172" s="13">
        <f t="shared" si="21"/>
        <v>-12.800948233221156</v>
      </c>
      <c r="Y172" s="13"/>
      <c r="Z172" s="13"/>
      <c r="AB172" t="str">
        <f t="shared" si="22"/>
        <v>-0.651572327043996,56.5083635703919</v>
      </c>
      <c r="AC172" t="str">
        <f t="shared" si="23"/>
        <v>3.69843706580305,58.4461198448899</v>
      </c>
      <c r="AD172" t="str">
        <f t="shared" si="24"/>
        <v>3.64796615538384,61.0610791413163</v>
      </c>
      <c r="AE172" t="str">
        <f t="shared" si="25"/>
        <v>4.73705219582738,65.1745018039051</v>
      </c>
    </row>
    <row r="173" spans="2:31" x14ac:dyDescent="0.2">
      <c r="B173" s="3">
        <v>171</v>
      </c>
      <c r="C173" s="6">
        <v>-0.65157232704399604</v>
      </c>
      <c r="D173" s="6">
        <v>55.720863570391899</v>
      </c>
      <c r="E173" s="8">
        <v>1.5707963267949001</v>
      </c>
      <c r="F173" s="7"/>
      <c r="G173" s="10">
        <v>3.5946422181181599</v>
      </c>
      <c r="H173" s="10">
        <v>57.665490048126998</v>
      </c>
      <c r="I173" s="10">
        <v>1.5898180122262799</v>
      </c>
      <c r="K173" s="10">
        <v>3.54417130769896</v>
      </c>
      <c r="L173" s="10">
        <v>60.280449344553404</v>
      </c>
      <c r="M173" s="10">
        <v>1.5898180122262799</v>
      </c>
      <c r="N173" s="13"/>
      <c r="O173" s="10">
        <v>4.5625700448924</v>
      </c>
      <c r="P173" s="10">
        <v>64.406574574927504</v>
      </c>
      <c r="Q173" s="10">
        <v>1.5243329751268899</v>
      </c>
      <c r="R173" s="13"/>
      <c r="S173" s="8">
        <v>1.5707963267949001</v>
      </c>
      <c r="T173" s="13"/>
      <c r="U173" s="13">
        <f t="shared" si="18"/>
        <v>0</v>
      </c>
      <c r="V173" s="13">
        <f t="shared" si="19"/>
        <v>1.089862294443549</v>
      </c>
      <c r="W173" s="13">
        <f t="shared" si="20"/>
        <v>1.089862294443549</v>
      </c>
      <c r="X173" s="13">
        <f t="shared" si="21"/>
        <v>-2.6621539526091178</v>
      </c>
      <c r="Y173" s="13"/>
      <c r="Z173" s="13"/>
      <c r="AB173" t="str">
        <f t="shared" si="22"/>
        <v>-0.651572327043996,55.7208635703919</v>
      </c>
      <c r="AC173" t="str">
        <f t="shared" si="23"/>
        <v>3.59464221811816,57.665490048127</v>
      </c>
      <c r="AD173" t="str">
        <f t="shared" si="24"/>
        <v>3.54417130769896,60.2804493445534</v>
      </c>
      <c r="AE173" t="str">
        <f t="shared" si="25"/>
        <v>4.5625700448924,64.4065745749275</v>
      </c>
    </row>
    <row r="174" spans="2:31" x14ac:dyDescent="0.2">
      <c r="B174" s="3">
        <v>172</v>
      </c>
      <c r="C174" s="6">
        <v>-0.65157232704399604</v>
      </c>
      <c r="D174" s="6">
        <v>54.933363570391897</v>
      </c>
      <c r="E174" s="8">
        <v>1.5707963267949001</v>
      </c>
      <c r="F174" s="7"/>
      <c r="G174" s="10">
        <v>3.6096208920820101</v>
      </c>
      <c r="H174" s="10">
        <v>56.878132512234799</v>
      </c>
      <c r="I174" s="10">
        <v>1.4661680389055101</v>
      </c>
      <c r="K174" s="10">
        <v>3.5591499816628001</v>
      </c>
      <c r="L174" s="10">
        <v>59.493091808661198</v>
      </c>
      <c r="M174" s="10">
        <v>1.4661680389055101</v>
      </c>
      <c r="N174" s="13"/>
      <c r="O174" s="10">
        <v>4.5259933193375801</v>
      </c>
      <c r="P174" s="10">
        <v>63.619924466462699</v>
      </c>
      <c r="Q174" s="10">
        <v>1.37145754325839</v>
      </c>
      <c r="R174" s="13"/>
      <c r="S174" s="8">
        <v>1.5707963267949001</v>
      </c>
      <c r="T174" s="13"/>
      <c r="U174" s="13">
        <f t="shared" si="18"/>
        <v>0</v>
      </c>
      <c r="V174" s="13">
        <f t="shared" si="19"/>
        <v>-5.9947593137417945</v>
      </c>
      <c r="W174" s="13">
        <f t="shared" si="20"/>
        <v>-5.9947593137417945</v>
      </c>
      <c r="X174" s="13">
        <f t="shared" si="21"/>
        <v>-11.42127098991393</v>
      </c>
      <c r="Y174" s="13"/>
      <c r="Z174" s="13"/>
      <c r="AB174" t="str">
        <f t="shared" si="22"/>
        <v>-0.651572327043996,54.9333635703919</v>
      </c>
      <c r="AC174" t="str">
        <f t="shared" si="23"/>
        <v>3.60962089208201,56.8781325122348</v>
      </c>
      <c r="AD174" t="str">
        <f t="shared" si="24"/>
        <v>3.5591499816628,59.4930918086612</v>
      </c>
      <c r="AE174" t="str">
        <f t="shared" si="25"/>
        <v>4.52599331933758,63.6199244664627</v>
      </c>
    </row>
    <row r="175" spans="2:31" x14ac:dyDescent="0.2">
      <c r="B175" s="3">
        <v>173</v>
      </c>
      <c r="C175" s="6">
        <v>-0.65157232704399604</v>
      </c>
      <c r="D175" s="6">
        <v>54.145863570391903</v>
      </c>
      <c r="E175" s="8">
        <v>1.5707963267949001</v>
      </c>
      <c r="F175" s="7"/>
      <c r="G175" s="10">
        <v>3.5273763634564999</v>
      </c>
      <c r="H175" s="10">
        <v>56.094938993676799</v>
      </c>
      <c r="I175" s="10">
        <v>1.6552249748563399</v>
      </c>
      <c r="K175" s="10">
        <v>3.4769054530373</v>
      </c>
      <c r="L175" s="10">
        <v>58.709898290103297</v>
      </c>
      <c r="M175" s="10">
        <v>1.6552249748563399</v>
      </c>
      <c r="N175" s="13"/>
      <c r="O175" s="10">
        <v>4.3700515839735798</v>
      </c>
      <c r="P175" s="10">
        <v>62.848018756436097</v>
      </c>
      <c r="Q175" s="10">
        <v>1.58547002846254</v>
      </c>
      <c r="R175" s="13"/>
      <c r="S175" s="8">
        <v>1.5707963267949001</v>
      </c>
      <c r="T175" s="13"/>
      <c r="U175" s="13">
        <f t="shared" si="18"/>
        <v>0</v>
      </c>
      <c r="V175" s="13">
        <f t="shared" si="19"/>
        <v>4.8374052039158801</v>
      </c>
      <c r="W175" s="13">
        <f t="shared" si="20"/>
        <v>4.8374052039158801</v>
      </c>
      <c r="X175" s="13">
        <f t="shared" si="21"/>
        <v>0.84074117538984561</v>
      </c>
      <c r="Y175" s="13"/>
      <c r="Z175" s="13"/>
      <c r="AB175" t="str">
        <f t="shared" si="22"/>
        <v>-0.651572327043996,54.1458635703919</v>
      </c>
      <c r="AC175" t="str">
        <f t="shared" si="23"/>
        <v>3.5273763634565,56.0949389936768</v>
      </c>
      <c r="AD175" t="str">
        <f t="shared" si="24"/>
        <v>3.4769054530373,58.7098982901033</v>
      </c>
      <c r="AE175" t="str">
        <f t="shared" si="25"/>
        <v>4.37005158397358,62.8480187564361</v>
      </c>
    </row>
    <row r="176" spans="2:31" x14ac:dyDescent="0.2">
      <c r="B176" s="3">
        <v>174</v>
      </c>
      <c r="C176" s="6">
        <v>-0.65157232704399604</v>
      </c>
      <c r="D176" s="6">
        <v>53.358363570391901</v>
      </c>
      <c r="E176" s="8">
        <v>1.5707963267949001</v>
      </c>
      <c r="F176" s="7"/>
      <c r="G176" s="10">
        <v>3.5937849625522902</v>
      </c>
      <c r="H176" s="10">
        <v>55.310244054247399</v>
      </c>
      <c r="I176" s="10">
        <v>1.43853121568536</v>
      </c>
      <c r="K176" s="10">
        <v>3.5433140521330899</v>
      </c>
      <c r="L176" s="10">
        <v>57.925203350673897</v>
      </c>
      <c r="M176" s="10">
        <v>1.43853121568536</v>
      </c>
      <c r="N176" s="13"/>
      <c r="O176" s="10">
        <v>4.3816067093562703</v>
      </c>
      <c r="P176" s="10">
        <v>62.060603536188701</v>
      </c>
      <c r="Q176" s="10">
        <v>1.3460208055026099</v>
      </c>
      <c r="R176" s="13"/>
      <c r="S176" s="8">
        <v>1.5707963267949001</v>
      </c>
      <c r="T176" s="13"/>
      <c r="U176" s="13">
        <f t="shared" si="18"/>
        <v>0</v>
      </c>
      <c r="V176" s="13">
        <f t="shared" si="19"/>
        <v>-7.5782326434055438</v>
      </c>
      <c r="W176" s="13">
        <f t="shared" si="20"/>
        <v>-7.5782326434055438</v>
      </c>
      <c r="X176" s="13">
        <f t="shared" si="21"/>
        <v>-12.878688707901198</v>
      </c>
      <c r="Y176" s="13"/>
      <c r="Z176" s="13"/>
      <c r="AB176" t="str">
        <f t="shared" si="22"/>
        <v>-0.651572327043996,53.3583635703919</v>
      </c>
      <c r="AC176" t="str">
        <f t="shared" si="23"/>
        <v>3.59378496255229,55.3102440542474</v>
      </c>
      <c r="AD176" t="str">
        <f t="shared" si="24"/>
        <v>3.54331405213309,57.9252033506739</v>
      </c>
      <c r="AE176" t="str">
        <f t="shared" si="25"/>
        <v>4.38160670935627,62.0606035361887</v>
      </c>
    </row>
    <row r="177" spans="2:31" x14ac:dyDescent="0.2">
      <c r="B177" s="3">
        <v>175</v>
      </c>
      <c r="C177" s="6">
        <v>-0.65157232704399604</v>
      </c>
      <c r="D177" s="6">
        <v>52.5708635703919</v>
      </c>
      <c r="E177" s="8">
        <v>1.5707963267949001</v>
      </c>
      <c r="F177" s="7"/>
      <c r="G177" s="10">
        <v>3.4899296153259498</v>
      </c>
      <c r="H177" s="10">
        <v>54.529622304068504</v>
      </c>
      <c r="I177" s="10">
        <v>1.62891574271091</v>
      </c>
      <c r="K177" s="10">
        <v>3.43945870490675</v>
      </c>
      <c r="L177" s="10">
        <v>57.144581600494902</v>
      </c>
      <c r="M177" s="10">
        <v>1.62891574271091</v>
      </c>
      <c r="N177" s="13"/>
      <c r="O177" s="10">
        <v>4.2060827747634404</v>
      </c>
      <c r="P177" s="10">
        <v>61.292913756144003</v>
      </c>
      <c r="Q177" s="10">
        <v>1.55943379068282</v>
      </c>
      <c r="R177" s="13"/>
      <c r="S177" s="8">
        <v>1.5707963267949001</v>
      </c>
      <c r="T177" s="13"/>
      <c r="U177" s="13">
        <f t="shared" si="18"/>
        <v>0</v>
      </c>
      <c r="V177" s="13">
        <f t="shared" si="19"/>
        <v>3.3299972397528297</v>
      </c>
      <c r="W177" s="13">
        <f t="shared" si="20"/>
        <v>3.3299972397528297</v>
      </c>
      <c r="X177" s="13">
        <f t="shared" si="21"/>
        <v>-0.65102536378718034</v>
      </c>
      <c r="Y177" s="13"/>
      <c r="Z177" s="13"/>
      <c r="AB177" t="str">
        <f t="shared" si="22"/>
        <v>-0.651572327043996,52.5708635703919</v>
      </c>
      <c r="AC177" t="str">
        <f t="shared" si="23"/>
        <v>3.48992961532595,54.5296223040685</v>
      </c>
      <c r="AD177" t="str">
        <f t="shared" si="24"/>
        <v>3.43945870490675,57.1445816004949</v>
      </c>
      <c r="AE177" t="str">
        <f t="shared" si="25"/>
        <v>4.20608277476344,61.292913756144</v>
      </c>
    </row>
    <row r="178" spans="2:31" x14ac:dyDescent="0.2">
      <c r="B178" s="3">
        <v>176</v>
      </c>
      <c r="C178" s="6">
        <v>-0.65157232704399604</v>
      </c>
      <c r="D178" s="6">
        <v>51.783363570391899</v>
      </c>
      <c r="E178" s="8">
        <v>1.5707963267949001</v>
      </c>
      <c r="F178" s="7"/>
      <c r="G178" s="10">
        <v>3.5356728927601</v>
      </c>
      <c r="H178" s="10">
        <v>53.743451964657503</v>
      </c>
      <c r="I178" s="10">
        <v>1.40366090066366</v>
      </c>
      <c r="K178" s="10">
        <v>3.4852019823409002</v>
      </c>
      <c r="L178" s="10">
        <v>56.358411261083901</v>
      </c>
      <c r="M178" s="10">
        <v>1.40366090066366</v>
      </c>
      <c r="N178" s="13"/>
      <c r="O178" s="10">
        <v>4.1971349701157799</v>
      </c>
      <c r="P178" s="10">
        <v>60.505464591567602</v>
      </c>
      <c r="Q178" s="10">
        <v>1.3101209245901899</v>
      </c>
      <c r="R178" s="13"/>
      <c r="S178" s="8">
        <v>1.5707963267949001</v>
      </c>
      <c r="T178" s="13"/>
      <c r="U178" s="13">
        <f t="shared" si="18"/>
        <v>0</v>
      </c>
      <c r="V178" s="13">
        <f t="shared" si="19"/>
        <v>-9.5761545244405912</v>
      </c>
      <c r="W178" s="13">
        <f t="shared" si="20"/>
        <v>-9.5761545244405912</v>
      </c>
      <c r="X178" s="13">
        <f t="shared" si="21"/>
        <v>-14.93560036920513</v>
      </c>
      <c r="Y178" s="13"/>
      <c r="Z178" s="13"/>
      <c r="AB178" t="str">
        <f t="shared" si="22"/>
        <v>-0.651572327043996,51.7833635703919</v>
      </c>
      <c r="AC178" t="str">
        <f t="shared" si="23"/>
        <v>3.5356728927601,53.7434519646575</v>
      </c>
      <c r="AD178" t="str">
        <f t="shared" si="24"/>
        <v>3.4852019823409,56.3584112610839</v>
      </c>
      <c r="AE178" t="str">
        <f t="shared" si="25"/>
        <v>4.19713497011578,60.5054645915676</v>
      </c>
    </row>
    <row r="179" spans="2:31" x14ac:dyDescent="0.2">
      <c r="B179" s="3">
        <v>177</v>
      </c>
      <c r="C179" s="6">
        <v>-0.65157232704399604</v>
      </c>
      <c r="D179" s="6">
        <v>50.995863570391897</v>
      </c>
      <c r="E179" s="8">
        <v>1.5707963267949001</v>
      </c>
      <c r="F179" s="7"/>
      <c r="G179" s="10">
        <v>3.40466566975193</v>
      </c>
      <c r="H179" s="10">
        <v>52.966925495359902</v>
      </c>
      <c r="I179" s="10">
        <v>1.59268669266233</v>
      </c>
      <c r="K179" s="10">
        <v>3.3541947593327301</v>
      </c>
      <c r="L179" s="10">
        <v>55.581884791786401</v>
      </c>
      <c r="M179" s="10">
        <v>1.59268669266233</v>
      </c>
      <c r="N179" s="13"/>
      <c r="O179" s="10">
        <v>3.9941700789521701</v>
      </c>
      <c r="P179" s="10">
        <v>59.744569393163196</v>
      </c>
      <c r="Q179" s="10">
        <v>1.5254044030643801</v>
      </c>
      <c r="R179" s="13"/>
      <c r="S179" s="8">
        <v>1.5707963267949001</v>
      </c>
      <c r="T179" s="13"/>
      <c r="U179" s="13">
        <f t="shared" si="18"/>
        <v>0</v>
      </c>
      <c r="V179" s="13">
        <f t="shared" si="19"/>
        <v>1.2542255762009651</v>
      </c>
      <c r="W179" s="13">
        <f t="shared" si="20"/>
        <v>1.2542255762009651</v>
      </c>
      <c r="X179" s="13">
        <f t="shared" si="21"/>
        <v>-2.6007656537385251</v>
      </c>
      <c r="Y179" s="13"/>
      <c r="Z179" s="13"/>
      <c r="AB179" t="str">
        <f t="shared" si="22"/>
        <v>-0.651572327043996,50.9958635703919</v>
      </c>
      <c r="AC179" t="str">
        <f t="shared" si="23"/>
        <v>3.40466566975193,52.9669254953599</v>
      </c>
      <c r="AD179" t="str">
        <f t="shared" si="24"/>
        <v>3.35419475933273,55.5818847917864</v>
      </c>
      <c r="AE179" t="str">
        <f t="shared" si="25"/>
        <v>3.99417007895217,59.7445693931632</v>
      </c>
    </row>
    <row r="180" spans="2:31" x14ac:dyDescent="0.2">
      <c r="B180" s="3">
        <v>178</v>
      </c>
      <c r="C180" s="6">
        <v>-0.65157232704399604</v>
      </c>
      <c r="D180" s="6">
        <v>50.208363570391903</v>
      </c>
      <c r="E180" s="8">
        <v>1.5707963267949001</v>
      </c>
      <c r="F180" s="7"/>
      <c r="G180" s="10">
        <v>3.4219029561451002</v>
      </c>
      <c r="H180" s="10">
        <v>52.179614168146998</v>
      </c>
      <c r="I180" s="10">
        <v>1.4167747678367</v>
      </c>
      <c r="K180" s="10">
        <v>3.3714320457258999</v>
      </c>
      <c r="L180" s="10">
        <v>54.794573464573403</v>
      </c>
      <c r="M180" s="10">
        <v>1.4167747678367</v>
      </c>
      <c r="N180" s="13"/>
      <c r="O180" s="10">
        <v>3.9584362131335902</v>
      </c>
      <c r="P180" s="10">
        <v>58.957880546900803</v>
      </c>
      <c r="Q180" s="10">
        <v>1.32704900661727</v>
      </c>
      <c r="R180" s="13"/>
      <c r="S180" s="8">
        <v>1.5707963267949001</v>
      </c>
      <c r="T180" s="13"/>
      <c r="U180" s="13">
        <f t="shared" si="18"/>
        <v>0</v>
      </c>
      <c r="V180" s="13">
        <f t="shared" si="19"/>
        <v>-8.8247852823302448</v>
      </c>
      <c r="W180" s="13">
        <f t="shared" si="20"/>
        <v>-8.8247852823302448</v>
      </c>
      <c r="X180" s="13">
        <f t="shared" si="21"/>
        <v>-13.965692713802177</v>
      </c>
      <c r="Y180" s="13"/>
      <c r="Z180" s="13"/>
      <c r="AB180" t="str">
        <f t="shared" si="22"/>
        <v>-0.651572327043996,50.2083635703919</v>
      </c>
      <c r="AC180" t="str">
        <f t="shared" si="23"/>
        <v>3.4219029561451,52.179614168147</v>
      </c>
      <c r="AD180" t="str">
        <f t="shared" si="24"/>
        <v>3.3714320457259,54.7945734645734</v>
      </c>
      <c r="AE180" t="str">
        <f t="shared" si="25"/>
        <v>3.95843621313359,58.9578805469008</v>
      </c>
    </row>
    <row r="181" spans="2:31" x14ac:dyDescent="0.2">
      <c r="B181" s="3">
        <v>179</v>
      </c>
      <c r="C181" s="6">
        <v>-0.65157232704399604</v>
      </c>
      <c r="D181" s="6">
        <v>49.420863570391901</v>
      </c>
      <c r="E181" s="8">
        <v>1.5707963267949001</v>
      </c>
      <c r="F181" s="7"/>
      <c r="G181" s="10">
        <v>3.3010899709635502</v>
      </c>
      <c r="H181" s="10">
        <v>51.401436506805098</v>
      </c>
      <c r="I181" s="10">
        <v>1.6130780883812501</v>
      </c>
      <c r="K181" s="10">
        <v>3.2506190605443499</v>
      </c>
      <c r="L181" s="10">
        <v>54.016395803231497</v>
      </c>
      <c r="M181" s="10">
        <v>1.6130780883812501</v>
      </c>
      <c r="N181" s="13"/>
      <c r="O181" s="10">
        <v>3.76838028325019</v>
      </c>
      <c r="P181" s="10">
        <v>58.193658724707703</v>
      </c>
      <c r="Q181" s="10">
        <v>1.5501509638772599</v>
      </c>
      <c r="R181" s="13"/>
      <c r="S181" s="8">
        <v>1.5707963267949001</v>
      </c>
      <c r="T181" s="13"/>
      <c r="U181" s="13">
        <f t="shared" si="18"/>
        <v>0</v>
      </c>
      <c r="V181" s="13">
        <f t="shared" si="19"/>
        <v>2.4225664892762233</v>
      </c>
      <c r="W181" s="13">
        <f t="shared" si="20"/>
        <v>2.4225664892762233</v>
      </c>
      <c r="X181" s="13">
        <f t="shared" si="21"/>
        <v>-1.1828921616966781</v>
      </c>
      <c r="Y181" s="13"/>
      <c r="Z181" s="13"/>
      <c r="AB181" t="str">
        <f t="shared" si="22"/>
        <v>-0.651572327043996,49.4208635703919</v>
      </c>
      <c r="AC181" t="str">
        <f t="shared" si="23"/>
        <v>3.30108997096355,51.4014365068051</v>
      </c>
      <c r="AD181" t="str">
        <f t="shared" si="24"/>
        <v>3.25061906054435,54.0163958032315</v>
      </c>
      <c r="AE181" t="str">
        <f t="shared" si="25"/>
        <v>3.76838028325019,58.1936587247077</v>
      </c>
    </row>
    <row r="182" spans="2:31" x14ac:dyDescent="0.2">
      <c r="B182" s="3">
        <v>180</v>
      </c>
      <c r="C182" s="6">
        <v>-0.65157232704399604</v>
      </c>
      <c r="D182" s="6">
        <v>48.6333635703919</v>
      </c>
      <c r="E182" s="8">
        <v>1.5707963267949001</v>
      </c>
      <c r="F182" s="7"/>
      <c r="G182" s="10">
        <v>3.3343769380291901</v>
      </c>
      <c r="H182" s="10">
        <v>50.614640327465402</v>
      </c>
      <c r="I182" s="10">
        <v>1.4473697389437801</v>
      </c>
      <c r="K182" s="10">
        <v>3.2839060276099801</v>
      </c>
      <c r="L182" s="10">
        <v>53.229599623891801</v>
      </c>
      <c r="M182" s="10">
        <v>1.4473697389437801</v>
      </c>
      <c r="N182" s="13"/>
      <c r="O182" s="10">
        <v>3.7521232148877601</v>
      </c>
      <c r="P182" s="10">
        <v>57.406326547206803</v>
      </c>
      <c r="Q182" s="10">
        <v>1.3789622090731799</v>
      </c>
      <c r="R182" s="13"/>
      <c r="S182" s="8">
        <v>1.5707963267949001</v>
      </c>
      <c r="T182" s="13"/>
      <c r="U182" s="13">
        <f t="shared" si="18"/>
        <v>0</v>
      </c>
      <c r="V182" s="13">
        <f t="shared" si="19"/>
        <v>-7.0718225635698593</v>
      </c>
      <c r="W182" s="13">
        <f t="shared" si="20"/>
        <v>-7.0718225635698593</v>
      </c>
      <c r="X182" s="13">
        <f t="shared" si="21"/>
        <v>-10.991285312070358</v>
      </c>
      <c r="Y182" s="13"/>
      <c r="Z182" s="13"/>
      <c r="AB182" t="str">
        <f t="shared" si="22"/>
        <v>-0.651572327043996,48.6333635703919</v>
      </c>
      <c r="AC182" t="str">
        <f t="shared" si="23"/>
        <v>3.33437693802919,50.6146403274654</v>
      </c>
      <c r="AD182" t="str">
        <f t="shared" si="24"/>
        <v>3.28390602760998,53.2295996238918</v>
      </c>
      <c r="AE182" t="str">
        <f t="shared" si="25"/>
        <v>3.75212321488776,57.4063265472068</v>
      </c>
    </row>
    <row r="183" spans="2:31" x14ac:dyDescent="0.2">
      <c r="B183" s="3">
        <v>181</v>
      </c>
      <c r="C183" s="6">
        <v>-0.65157232704399604</v>
      </c>
      <c r="D183" s="6">
        <v>47.845863570391899</v>
      </c>
      <c r="E183" s="8">
        <v>1.5707963267949001</v>
      </c>
      <c r="F183" s="7"/>
      <c r="G183" s="10">
        <v>3.2374251010038599</v>
      </c>
      <c r="H183" s="10">
        <v>49.833131152025103</v>
      </c>
      <c r="I183" s="10">
        <v>1.4473697389437801</v>
      </c>
      <c r="K183" s="10">
        <v>3.1869541905846601</v>
      </c>
      <c r="L183" s="10">
        <v>52.448090448451502</v>
      </c>
      <c r="M183" s="10">
        <v>1.5010046488737201</v>
      </c>
      <c r="N183" s="13"/>
      <c r="O183" s="10">
        <v>3.6019787108415802</v>
      </c>
      <c r="P183" s="10">
        <v>56.633272294321102</v>
      </c>
      <c r="Q183" s="10">
        <v>1.4287392723091501</v>
      </c>
      <c r="R183" s="13"/>
      <c r="S183" s="8">
        <v>1.5707963267949001</v>
      </c>
      <c r="T183" s="13"/>
      <c r="U183" s="13">
        <f t="shared" si="18"/>
        <v>0</v>
      </c>
      <c r="V183" s="13">
        <f t="shared" si="19"/>
        <v>-7.0718225635698593</v>
      </c>
      <c r="W183" s="13">
        <f t="shared" si="20"/>
        <v>-3.9987685900199859</v>
      </c>
      <c r="X183" s="13">
        <f t="shared" si="21"/>
        <v>-8.1392696720934552</v>
      </c>
      <c r="Y183" s="13"/>
      <c r="Z183" s="13"/>
      <c r="AB183" t="str">
        <f t="shared" si="22"/>
        <v>-0.651572327043996,47.8458635703919</v>
      </c>
      <c r="AC183" t="str">
        <f t="shared" si="23"/>
        <v>3.23742510100386,49.8331311520251</v>
      </c>
      <c r="AD183" t="str">
        <f t="shared" si="24"/>
        <v>3.18695419058466,52.4480904484515</v>
      </c>
      <c r="AE183" t="str">
        <f t="shared" si="25"/>
        <v>3.60197871084158,56.6332722943211</v>
      </c>
    </row>
    <row r="184" spans="2:31" x14ac:dyDescent="0.2">
      <c r="B184" s="3">
        <v>182</v>
      </c>
      <c r="C184" s="6">
        <v>-0.65157232704399604</v>
      </c>
      <c r="D184" s="6">
        <v>47.058363570391897</v>
      </c>
      <c r="E184" s="8">
        <v>1.5707963267949001</v>
      </c>
      <c r="F184" s="7"/>
      <c r="G184" s="10">
        <v>3.1404732639785302</v>
      </c>
      <c r="H184" s="10">
        <v>49.051621976584698</v>
      </c>
      <c r="I184" s="10">
        <v>1.5010046488737201</v>
      </c>
      <c r="K184" s="10">
        <v>3.1320378513701099</v>
      </c>
      <c r="L184" s="10">
        <v>51.662507578419799</v>
      </c>
      <c r="M184" s="10">
        <v>1.43322189656514</v>
      </c>
      <c r="N184" s="13"/>
      <c r="O184" s="10">
        <v>3.49048466068687</v>
      </c>
      <c r="P184" s="10">
        <v>55.853704897119201</v>
      </c>
      <c r="Q184" s="10">
        <v>1.34657841089734</v>
      </c>
      <c r="R184" s="13"/>
      <c r="S184" s="8">
        <v>1.5707963267949001</v>
      </c>
      <c r="T184" s="13"/>
      <c r="U184" s="13">
        <f t="shared" si="18"/>
        <v>0</v>
      </c>
      <c r="V184" s="13">
        <f t="shared" si="19"/>
        <v>-3.9987685900199859</v>
      </c>
      <c r="W184" s="13">
        <f t="shared" si="20"/>
        <v>-7.8824342210822635</v>
      </c>
      <c r="X184" s="13">
        <f t="shared" si="21"/>
        <v>-12.846740272149441</v>
      </c>
      <c r="Y184" s="13"/>
      <c r="Z184" s="13"/>
      <c r="AB184" t="str">
        <f t="shared" si="22"/>
        <v>-0.651572327043996,47.0583635703919</v>
      </c>
      <c r="AC184" t="str">
        <f t="shared" si="23"/>
        <v>3.14047326397853,49.0516219765847</v>
      </c>
      <c r="AD184" t="str">
        <f t="shared" si="24"/>
        <v>3.13203785137011,51.6625075784198</v>
      </c>
      <c r="AE184" t="str">
        <f t="shared" si="25"/>
        <v>3.49048466068687,55.8537048971192</v>
      </c>
    </row>
    <row r="185" spans="2:31" x14ac:dyDescent="0.2">
      <c r="B185" s="3">
        <v>183</v>
      </c>
      <c r="C185" s="6">
        <v>-0.65157232704399604</v>
      </c>
      <c r="D185" s="6">
        <v>46.270863570391903</v>
      </c>
      <c r="E185" s="8">
        <v>1.5707963267949001</v>
      </c>
      <c r="F185" s="7"/>
      <c r="G185" s="10">
        <v>3.08555692476398</v>
      </c>
      <c r="H185" s="10">
        <v>48.266039106553002</v>
      </c>
      <c r="I185" s="10">
        <v>1.68786097774722</v>
      </c>
      <c r="K185" s="10">
        <v>3.02403941741062</v>
      </c>
      <c r="L185" s="10">
        <v>50.882448229227499</v>
      </c>
      <c r="M185" s="10">
        <v>1.68786097774722</v>
      </c>
      <c r="N185" s="13"/>
      <c r="O185" s="10">
        <v>3.31538882132197</v>
      </c>
      <c r="P185" s="10">
        <v>55.085917363333301</v>
      </c>
      <c r="Q185" s="10">
        <v>1.61758206785795</v>
      </c>
      <c r="R185" s="13"/>
      <c r="S185" s="8">
        <v>1.5707963267949001</v>
      </c>
      <c r="T185" s="13"/>
      <c r="U185" s="13">
        <f t="shared" si="18"/>
        <v>0</v>
      </c>
      <c r="V185" s="13">
        <f t="shared" si="19"/>
        <v>6.7073104297400619</v>
      </c>
      <c r="W185" s="13">
        <f t="shared" si="20"/>
        <v>6.7073104297400619</v>
      </c>
      <c r="X185" s="13">
        <f t="shared" si="21"/>
        <v>2.6806255043046683</v>
      </c>
      <c r="Y185" s="13"/>
      <c r="Z185" s="13"/>
      <c r="AB185" t="str">
        <f t="shared" si="22"/>
        <v>-0.651572327043996,46.2708635703919</v>
      </c>
      <c r="AC185" t="str">
        <f t="shared" si="23"/>
        <v>3.08555692476398,48.266039106553</v>
      </c>
      <c r="AD185" t="str">
        <f t="shared" si="24"/>
        <v>3.02403941741062,50.8824482292275</v>
      </c>
      <c r="AE185" t="str">
        <f t="shared" si="25"/>
        <v>3.31538882132197,55.0859173633333</v>
      </c>
    </row>
    <row r="186" spans="2:31" x14ac:dyDescent="0.2">
      <c r="B186" s="3">
        <v>184</v>
      </c>
      <c r="C186" s="6">
        <v>-0.65157232704399604</v>
      </c>
      <c r="D186" s="6">
        <v>45.483363570391901</v>
      </c>
      <c r="E186" s="8">
        <v>1.5707963267949001</v>
      </c>
      <c r="F186" s="7"/>
      <c r="G186" s="10">
        <v>3.1775349212489301</v>
      </c>
      <c r="H186" s="10">
        <v>47.483928949246099</v>
      </c>
      <c r="I186" s="10">
        <v>1.4893578391948501</v>
      </c>
      <c r="K186" s="10">
        <v>3.1160174138955701</v>
      </c>
      <c r="L186" s="10">
        <v>50.100338071920604</v>
      </c>
      <c r="M186" s="10">
        <v>1.4893578391948501</v>
      </c>
      <c r="N186" s="13"/>
      <c r="O186" s="10">
        <v>3.35221915262419</v>
      </c>
      <c r="P186" s="10">
        <v>54.299279087696902</v>
      </c>
      <c r="Q186" s="10">
        <v>1.4100748673949799</v>
      </c>
      <c r="R186" s="13"/>
      <c r="S186" s="8">
        <v>1.5707963267949001</v>
      </c>
      <c r="T186" s="13"/>
      <c r="U186" s="13">
        <f t="shared" si="18"/>
        <v>0</v>
      </c>
      <c r="V186" s="13">
        <f t="shared" si="19"/>
        <v>-4.6660816294113543</v>
      </c>
      <c r="W186" s="13">
        <f t="shared" si="20"/>
        <v>-4.6660816294113543</v>
      </c>
      <c r="X186" s="13">
        <f t="shared" si="21"/>
        <v>-9.2086613007986422</v>
      </c>
      <c r="Y186" s="13"/>
      <c r="Z186" s="13"/>
      <c r="AB186" t="str">
        <f t="shared" si="22"/>
        <v>-0.651572327043996,45.4833635703919</v>
      </c>
      <c r="AC186" t="str">
        <f t="shared" si="23"/>
        <v>3.17753492124893,47.4839289492461</v>
      </c>
      <c r="AD186" t="str">
        <f t="shared" si="24"/>
        <v>3.11601741389557,50.1003380719206</v>
      </c>
      <c r="AE186" t="str">
        <f t="shared" si="25"/>
        <v>3.35221915262419,54.2992790876969</v>
      </c>
    </row>
    <row r="187" spans="2:31" x14ac:dyDescent="0.2">
      <c r="B187" s="3">
        <v>185</v>
      </c>
      <c r="C187" s="6">
        <v>-0.65157232704399604</v>
      </c>
      <c r="D187" s="6">
        <v>44.6958635703919</v>
      </c>
      <c r="E187" s="8">
        <v>1.5707963267949001</v>
      </c>
      <c r="F187" s="7"/>
      <c r="G187" s="10">
        <v>3.1134729793201799</v>
      </c>
      <c r="H187" s="10">
        <v>46.699038945744803</v>
      </c>
      <c r="I187" s="10">
        <v>1.6595768685607399</v>
      </c>
      <c r="K187" s="10">
        <v>3.0519554719668198</v>
      </c>
      <c r="L187" s="10">
        <v>49.315448068419201</v>
      </c>
      <c r="M187" s="10">
        <v>1.6595768685607399</v>
      </c>
      <c r="N187" s="13"/>
      <c r="O187" s="10">
        <v>3.22619520514841</v>
      </c>
      <c r="P187" s="10">
        <v>53.521928320885301</v>
      </c>
      <c r="Q187" s="10">
        <v>1.59480572694617</v>
      </c>
      <c r="R187" s="13"/>
      <c r="S187" s="8">
        <v>1.5707963267949001</v>
      </c>
      <c r="T187" s="13"/>
      <c r="U187" s="13">
        <f t="shared" si="18"/>
        <v>0</v>
      </c>
      <c r="V187" s="13">
        <f t="shared" si="19"/>
        <v>5.0867503460675554</v>
      </c>
      <c r="W187" s="13">
        <f t="shared" si="20"/>
        <v>5.0867503460675554</v>
      </c>
      <c r="X187" s="13">
        <f t="shared" si="21"/>
        <v>1.3756372973085225</v>
      </c>
      <c r="Y187" s="13"/>
      <c r="Z187" s="13"/>
      <c r="AB187" t="str">
        <f t="shared" si="22"/>
        <v>-0.651572327043996,44.6958635703919</v>
      </c>
      <c r="AC187" t="str">
        <f t="shared" si="23"/>
        <v>3.11347297932018,46.6990389457448</v>
      </c>
      <c r="AD187" t="str">
        <f t="shared" si="24"/>
        <v>3.05195547196682,49.3154480684192</v>
      </c>
      <c r="AE187" t="str">
        <f t="shared" si="25"/>
        <v>3.22619520514841,53.5219283208853</v>
      </c>
    </row>
    <row r="188" spans="2:31" x14ac:dyDescent="0.2">
      <c r="B188" s="3">
        <v>186</v>
      </c>
      <c r="C188" s="6">
        <v>-0.65157232704399604</v>
      </c>
      <c r="D188" s="6">
        <v>43.908363570391899</v>
      </c>
      <c r="E188" s="8">
        <v>1.5707963267949001</v>
      </c>
      <c r="F188" s="7"/>
      <c r="G188" s="10">
        <v>3.1832958477490698</v>
      </c>
      <c r="H188" s="10">
        <v>45.9146404392162</v>
      </c>
      <c r="I188" s="10">
        <v>1.52613461494434</v>
      </c>
      <c r="K188" s="10">
        <v>3.12177834039572</v>
      </c>
      <c r="L188" s="10">
        <v>48.531049561890597</v>
      </c>
      <c r="M188" s="10">
        <v>1.52613461494434</v>
      </c>
      <c r="N188" s="13"/>
      <c r="O188" s="10">
        <v>3.2451007912871099</v>
      </c>
      <c r="P188" s="10">
        <v>52.734655287679701</v>
      </c>
      <c r="Q188" s="10">
        <v>1.44793644222037</v>
      </c>
      <c r="R188" s="13"/>
      <c r="S188" s="8">
        <v>1.5707963267949001</v>
      </c>
      <c r="T188" s="13"/>
      <c r="U188" s="13">
        <f t="shared" si="18"/>
        <v>0</v>
      </c>
      <c r="V188" s="13">
        <f t="shared" si="19"/>
        <v>-2.5589275948665087</v>
      </c>
      <c r="W188" s="13">
        <f t="shared" si="20"/>
        <v>-2.5589275948665087</v>
      </c>
      <c r="X188" s="13">
        <f t="shared" si="21"/>
        <v>-7.0393528575850217</v>
      </c>
      <c r="Y188" s="13"/>
      <c r="Z188" s="13"/>
      <c r="AB188" t="str">
        <f t="shared" si="22"/>
        <v>-0.651572327043996,43.9083635703919</v>
      </c>
      <c r="AC188" t="str">
        <f t="shared" si="23"/>
        <v>3.18329584774907,45.9146404392162</v>
      </c>
      <c r="AD188" t="str">
        <f t="shared" si="24"/>
        <v>3.12177834039572,48.5310495618906</v>
      </c>
      <c r="AE188" t="str">
        <f t="shared" si="25"/>
        <v>3.24510079128711,52.7346552876797</v>
      </c>
    </row>
    <row r="189" spans="2:31" x14ac:dyDescent="0.2">
      <c r="B189" s="3">
        <v>187</v>
      </c>
      <c r="C189" s="6">
        <v>-0.65157232704399604</v>
      </c>
      <c r="D189" s="6">
        <v>43.120863570391897</v>
      </c>
      <c r="E189" s="8">
        <v>1.5707963267949001</v>
      </c>
      <c r="F189" s="7"/>
      <c r="G189" s="10">
        <v>3.14813644094763</v>
      </c>
      <c r="H189" s="10">
        <v>45.127925709397701</v>
      </c>
      <c r="I189" s="10">
        <v>1.52613461494434</v>
      </c>
      <c r="K189" s="10">
        <v>3.08661893359427</v>
      </c>
      <c r="L189" s="10">
        <v>47.744334832072099</v>
      </c>
      <c r="M189" s="10">
        <v>1.6023724311519001</v>
      </c>
      <c r="N189" s="13"/>
      <c r="O189" s="10">
        <v>3.1485918536166402</v>
      </c>
      <c r="P189" s="10">
        <v>51.953091294810399</v>
      </c>
      <c r="Q189" s="10">
        <v>1.5352515043882</v>
      </c>
      <c r="R189" s="13"/>
      <c r="S189" s="8">
        <v>1.5707963267949001</v>
      </c>
      <c r="T189" s="13"/>
      <c r="U189" s="13">
        <f t="shared" si="18"/>
        <v>0</v>
      </c>
      <c r="V189" s="13">
        <f t="shared" si="19"/>
        <v>-2.5589275948665087</v>
      </c>
      <c r="W189" s="13">
        <f t="shared" si="20"/>
        <v>1.8091775131207488</v>
      </c>
      <c r="X189" s="13">
        <f t="shared" si="21"/>
        <v>-2.0365683074459566</v>
      </c>
      <c r="Y189" s="13"/>
      <c r="Z189" s="13"/>
      <c r="AB189" t="str">
        <f t="shared" si="22"/>
        <v>-0.651572327043996,43.1208635703919</v>
      </c>
      <c r="AC189" t="str">
        <f t="shared" si="23"/>
        <v>3.14813644094763,45.1279257093977</v>
      </c>
      <c r="AD189" t="str">
        <f t="shared" si="24"/>
        <v>3.08661893359427,47.7443348320721</v>
      </c>
      <c r="AE189" t="str">
        <f t="shared" si="25"/>
        <v>3.14859185361664,51.9530912948104</v>
      </c>
    </row>
    <row r="190" spans="2:31" x14ac:dyDescent="0.2">
      <c r="B190" s="3">
        <v>188</v>
      </c>
      <c r="C190" s="6">
        <v>-0.65157232704399604</v>
      </c>
      <c r="D190" s="6">
        <v>42.333363570391803</v>
      </c>
      <c r="E190" s="8">
        <v>1.5707963267949001</v>
      </c>
      <c r="F190" s="7"/>
      <c r="G190" s="10">
        <v>3.1129770341461902</v>
      </c>
      <c r="H190" s="10">
        <v>44.341210979579202</v>
      </c>
      <c r="I190" s="10">
        <v>1.6023724311519001</v>
      </c>
      <c r="K190" s="10">
        <v>3.1114809838420601</v>
      </c>
      <c r="L190" s="10">
        <v>46.957227388035797</v>
      </c>
      <c r="M190" s="10">
        <v>1.54176151868224</v>
      </c>
      <c r="N190" s="13"/>
      <c r="O190" s="10">
        <v>3.1206061998463999</v>
      </c>
      <c r="P190" s="10">
        <v>51.166088719730098</v>
      </c>
      <c r="Q190" s="10">
        <v>1.46366007829392</v>
      </c>
      <c r="R190" s="13"/>
      <c r="S190" s="8">
        <v>1.5707963267949001</v>
      </c>
      <c r="T190" s="13"/>
      <c r="U190" s="13">
        <f t="shared" si="18"/>
        <v>0</v>
      </c>
      <c r="V190" s="13">
        <f t="shared" si="19"/>
        <v>1.8091775131207488</v>
      </c>
      <c r="W190" s="13">
        <f t="shared" si="20"/>
        <v>-1.6635719638276285</v>
      </c>
      <c r="X190" s="13">
        <f t="shared" si="21"/>
        <v>-6.1384548719709544</v>
      </c>
      <c r="Y190" s="13"/>
      <c r="Z190" s="13"/>
      <c r="AB190" t="str">
        <f t="shared" si="22"/>
        <v>-0.651572327043996,42.3333635703918</v>
      </c>
      <c r="AC190" t="str">
        <f t="shared" si="23"/>
        <v>3.11297703414619,44.3412109795792</v>
      </c>
      <c r="AD190" t="str">
        <f t="shared" si="24"/>
        <v>3.11148098384206,46.9572273880358</v>
      </c>
      <c r="AE190" t="str">
        <f t="shared" si="25"/>
        <v>3.1206061998464,51.1660887197301</v>
      </c>
    </row>
    <row r="191" spans="2:31" x14ac:dyDescent="0.2">
      <c r="B191" s="3">
        <v>189</v>
      </c>
      <c r="C191" s="6">
        <v>-0.65157232704399604</v>
      </c>
      <c r="D191" s="6">
        <v>41.545863570391802</v>
      </c>
      <c r="E191" s="8">
        <v>1.5707963267949001</v>
      </c>
      <c r="F191" s="7"/>
      <c r="G191" s="10">
        <v>3.1378390843939798</v>
      </c>
      <c r="H191" s="10">
        <v>43.554103535542801</v>
      </c>
      <c r="I191" s="10">
        <v>1.54176151868224</v>
      </c>
      <c r="K191" s="10">
        <v>3.0886192849145102</v>
      </c>
      <c r="L191" s="10">
        <v>46.170059303874503</v>
      </c>
      <c r="M191" s="10">
        <v>1.48159249604781</v>
      </c>
      <c r="N191" s="13"/>
      <c r="O191" s="10">
        <v>3.0363977134376201</v>
      </c>
      <c r="P191" s="10">
        <v>50.383103930084197</v>
      </c>
      <c r="Q191" s="10">
        <v>1.4165023363703799</v>
      </c>
      <c r="R191" s="13"/>
      <c r="S191" s="8">
        <v>1.5707963267949001</v>
      </c>
      <c r="T191" s="13"/>
      <c r="U191" s="13">
        <f t="shared" si="18"/>
        <v>0</v>
      </c>
      <c r="V191" s="13">
        <f t="shared" si="19"/>
        <v>-1.6635719638276285</v>
      </c>
      <c r="W191" s="13">
        <f t="shared" si="20"/>
        <v>-5.1110030182075912</v>
      </c>
      <c r="X191" s="13">
        <f t="shared" si="21"/>
        <v>-8.8403944555569431</v>
      </c>
      <c r="Y191" s="13"/>
      <c r="Z191" s="13"/>
      <c r="AB191" t="str">
        <f t="shared" si="22"/>
        <v>-0.651572327043996,41.5458635703918</v>
      </c>
      <c r="AC191" t="str">
        <f t="shared" si="23"/>
        <v>3.13783908439398,43.5541035355428</v>
      </c>
      <c r="AD191" t="str">
        <f t="shared" si="24"/>
        <v>3.08861928491451,46.1700593038745</v>
      </c>
      <c r="AE191" t="str">
        <f t="shared" si="25"/>
        <v>3.03639771343762,50.3831039300842</v>
      </c>
    </row>
    <row r="192" spans="2:31" x14ac:dyDescent="0.2">
      <c r="B192" s="3">
        <v>190</v>
      </c>
      <c r="C192" s="6">
        <v>-0.65157232704399604</v>
      </c>
      <c r="D192" s="6">
        <v>40.758363570391801</v>
      </c>
      <c r="E192" s="8">
        <v>1.5707963267949001</v>
      </c>
      <c r="F192" s="7"/>
      <c r="G192" s="10">
        <v>3.11497738546643</v>
      </c>
      <c r="H192" s="10">
        <v>42.766935451381499</v>
      </c>
      <c r="I192" s="10">
        <v>1.48159249604781</v>
      </c>
      <c r="K192" s="10">
        <v>3.0184643955060202</v>
      </c>
      <c r="L192" s="10">
        <v>45.385690422867498</v>
      </c>
      <c r="M192" s="10">
        <v>1.5795930787122101</v>
      </c>
      <c r="N192" s="13"/>
      <c r="O192" s="10">
        <v>2.9153727326606602</v>
      </c>
      <c r="P192" s="10">
        <v>49.604959210878398</v>
      </c>
      <c r="Q192" s="10">
        <v>1.5049821441426099</v>
      </c>
      <c r="R192" s="13"/>
      <c r="S192" s="8">
        <v>1.5707963267949001</v>
      </c>
      <c r="T192" s="13"/>
      <c r="U192" s="13">
        <f t="shared" si="18"/>
        <v>0</v>
      </c>
      <c r="V192" s="13">
        <f t="shared" si="19"/>
        <v>-5.1110030182075912</v>
      </c>
      <c r="W192" s="13">
        <f t="shared" si="20"/>
        <v>0.50401675828547776</v>
      </c>
      <c r="X192" s="13">
        <f t="shared" si="21"/>
        <v>-3.7708748980793478</v>
      </c>
      <c r="Y192" s="13"/>
      <c r="Z192" s="13"/>
      <c r="AB192" t="str">
        <f t="shared" si="22"/>
        <v>-0.651572327043996,40.7583635703918</v>
      </c>
      <c r="AC192" t="str">
        <f t="shared" si="23"/>
        <v>3.11497738546643,42.7669354513815</v>
      </c>
      <c r="AD192" t="str">
        <f t="shared" si="24"/>
        <v>3.01846439550602,45.3856904228675</v>
      </c>
      <c r="AE192" t="str">
        <f t="shared" si="25"/>
        <v>2.91537273266066,49.6049592108784</v>
      </c>
    </row>
    <row r="193" spans="2:31" x14ac:dyDescent="0.2">
      <c r="B193" s="3">
        <v>191</v>
      </c>
      <c r="C193" s="6">
        <v>-0.65157232704399604</v>
      </c>
      <c r="D193" s="6">
        <v>39.970863570391799</v>
      </c>
      <c r="E193" s="8">
        <v>1.5707963267949001</v>
      </c>
      <c r="F193" s="7"/>
      <c r="G193" s="10">
        <v>3.04482249605794</v>
      </c>
      <c r="H193" s="10">
        <v>41.982566570374601</v>
      </c>
      <c r="I193" s="10">
        <v>1.42918518076082</v>
      </c>
      <c r="K193" s="10">
        <v>3.02539174829705</v>
      </c>
      <c r="L193" s="10">
        <v>44.598220892165997</v>
      </c>
      <c r="M193" s="10">
        <v>1.42918518076082</v>
      </c>
      <c r="N193" s="13"/>
      <c r="O193" s="10">
        <v>2.8635814717566102</v>
      </c>
      <c r="P193" s="10">
        <v>48.819164126079599</v>
      </c>
      <c r="Q193" s="10">
        <v>1.34835027026174</v>
      </c>
      <c r="R193" s="13"/>
      <c r="S193" s="8">
        <v>1.5707963267949001</v>
      </c>
      <c r="T193" s="13"/>
      <c r="U193" s="13">
        <f t="shared" si="18"/>
        <v>0</v>
      </c>
      <c r="V193" s="13">
        <f t="shared" si="19"/>
        <v>-8.1137209997635544</v>
      </c>
      <c r="W193" s="13">
        <f t="shared" si="20"/>
        <v>-8.1137209997635544</v>
      </c>
      <c r="X193" s="13">
        <f t="shared" si="21"/>
        <v>-12.745220208678585</v>
      </c>
      <c r="Y193" s="13"/>
      <c r="Z193" s="13"/>
      <c r="AB193" t="str">
        <f t="shared" si="22"/>
        <v>-0.651572327043996,39.9708635703918</v>
      </c>
      <c r="AC193" t="str">
        <f t="shared" si="23"/>
        <v>3.04482249605794,41.9825665703746</v>
      </c>
      <c r="AD193" t="str">
        <f t="shared" si="24"/>
        <v>3.02539174829705,44.598220892166</v>
      </c>
      <c r="AE193" t="str">
        <f t="shared" si="25"/>
        <v>2.86358147175661,48.8191641260796</v>
      </c>
    </row>
    <row r="194" spans="2:31" x14ac:dyDescent="0.2">
      <c r="B194" s="3">
        <v>192</v>
      </c>
      <c r="C194" s="6">
        <v>-0.65157232704399604</v>
      </c>
      <c r="D194" s="6">
        <v>39.183363570391798</v>
      </c>
      <c r="E194" s="8">
        <v>1.5707963267949001</v>
      </c>
      <c r="F194" s="7"/>
      <c r="G194" s="10">
        <v>2.9336760726671902</v>
      </c>
      <c r="H194" s="10">
        <v>41.202949534537503</v>
      </c>
      <c r="I194" s="10">
        <v>1.54823638834979</v>
      </c>
      <c r="K194" s="10">
        <v>2.9142453249063101</v>
      </c>
      <c r="L194" s="10">
        <v>43.818603856328899</v>
      </c>
      <c r="M194" s="10">
        <v>1.54823638834979</v>
      </c>
      <c r="N194" s="13"/>
      <c r="O194" s="10">
        <v>2.6898463180668499</v>
      </c>
      <c r="P194" s="10">
        <v>48.051067552482003</v>
      </c>
      <c r="Q194" s="10">
        <v>1.47021174948633</v>
      </c>
      <c r="R194" s="13"/>
      <c r="S194" s="8">
        <v>1.5707963267949001</v>
      </c>
      <c r="T194" s="13"/>
      <c r="U194" s="13">
        <f t="shared" si="18"/>
        <v>0</v>
      </c>
      <c r="V194" s="13">
        <f>(I194-S194)*180/PI()</f>
        <v>-1.2925892589797354</v>
      </c>
      <c r="W194" s="13">
        <f t="shared" si="20"/>
        <v>-1.2925892589797354</v>
      </c>
      <c r="X194" s="13">
        <f t="shared" si="21"/>
        <v>-5.7630717638884139</v>
      </c>
      <c r="Y194" s="13"/>
      <c r="Z194" s="13"/>
      <c r="AB194" t="str">
        <f t="shared" si="22"/>
        <v>-0.651572327043996,39.1833635703918</v>
      </c>
      <c r="AC194" t="str">
        <f t="shared" si="23"/>
        <v>2.93367607266719,41.2029495345375</v>
      </c>
      <c r="AD194" t="str">
        <f t="shared" si="24"/>
        <v>2.91424532490631,43.8186038563289</v>
      </c>
      <c r="AE194" t="str">
        <f t="shared" si="25"/>
        <v>2.68984631806685,48.051067552482</v>
      </c>
    </row>
    <row r="195" spans="2:31" x14ac:dyDescent="0.2">
      <c r="B195" s="3">
        <v>193</v>
      </c>
      <c r="C195" s="6">
        <v>-0.65157232704399604</v>
      </c>
      <c r="D195" s="6">
        <v>38.395863570391803</v>
      </c>
      <c r="E195" s="8">
        <v>1.5707963267949001</v>
      </c>
      <c r="F195" s="7"/>
      <c r="G195" s="10">
        <v>2.9159116281026001</v>
      </c>
      <c r="H195" s="10">
        <v>40.415649925424603</v>
      </c>
      <c r="I195" s="10">
        <v>1.54823638834979</v>
      </c>
      <c r="K195" s="10">
        <v>2.8964808803417199</v>
      </c>
      <c r="L195" s="10">
        <v>43.031304247215999</v>
      </c>
      <c r="M195" s="10">
        <v>1.5021812281769</v>
      </c>
      <c r="N195" s="13"/>
      <c r="O195" s="10">
        <v>2.6107694611419299</v>
      </c>
      <c r="P195" s="10">
        <v>47.267547864982802</v>
      </c>
      <c r="Q195" s="10">
        <v>1.4373358267587999</v>
      </c>
      <c r="R195" s="13"/>
      <c r="S195" s="8">
        <v>1.5707963267949001</v>
      </c>
      <c r="T195" s="13"/>
      <c r="U195" s="13">
        <f t="shared" si="18"/>
        <v>0</v>
      </c>
      <c r="V195" s="13">
        <f t="shared" si="19"/>
        <v>-1.2925892589797354</v>
      </c>
      <c r="W195" s="13">
        <f t="shared" si="20"/>
        <v>-3.9313555616853324</v>
      </c>
      <c r="X195" s="13">
        <f t="shared" si="21"/>
        <v>-7.6467233837741135</v>
      </c>
      <c r="Y195" s="13"/>
      <c r="Z195" s="13"/>
      <c r="AB195" t="str">
        <f t="shared" si="22"/>
        <v>-0.651572327043996,38.3958635703918</v>
      </c>
      <c r="AC195" t="str">
        <f t="shared" si="23"/>
        <v>2.9159116281026,40.4156499254246</v>
      </c>
      <c r="AD195" t="str">
        <f t="shared" si="24"/>
        <v>2.89648088034172,43.031304247216</v>
      </c>
      <c r="AE195" t="str">
        <f t="shared" si="25"/>
        <v>2.61076946114193,47.2675478649828</v>
      </c>
    </row>
    <row r="196" spans="2:31" x14ac:dyDescent="0.2">
      <c r="B196" s="3">
        <v>194</v>
      </c>
      <c r="C196" s="6">
        <v>-0.65157232704399604</v>
      </c>
      <c r="D196" s="6">
        <v>37.608363570391802</v>
      </c>
      <c r="E196" s="8">
        <v>1.5707963267949001</v>
      </c>
      <c r="F196" s="7"/>
      <c r="G196" s="10">
        <v>2.8981471835380099</v>
      </c>
      <c r="H196" s="10">
        <v>39.628350316311703</v>
      </c>
      <c r="I196" s="10">
        <v>1.6253709892362</v>
      </c>
      <c r="K196" s="10">
        <v>2.84248887947113</v>
      </c>
      <c r="L196" s="10">
        <v>42.245657307527402</v>
      </c>
      <c r="M196" s="10">
        <v>1.6253709892362</v>
      </c>
      <c r="N196" s="13"/>
      <c r="O196" s="10">
        <v>2.50598104174412</v>
      </c>
      <c r="P196" s="10">
        <v>46.487050820042697</v>
      </c>
      <c r="Q196" s="10">
        <v>1.5552344289244999</v>
      </c>
      <c r="R196" s="13"/>
      <c r="S196" s="8">
        <v>1.5707963267949001</v>
      </c>
      <c r="T196" s="13"/>
      <c r="U196" s="13">
        <f t="shared" ref="U196:U246" si="26">(E196-S196)*180/PI()</f>
        <v>0</v>
      </c>
      <c r="V196" s="13">
        <f t="shared" si="19"/>
        <v>3.1268978262376161</v>
      </c>
      <c r="W196" s="13">
        <f t="shared" ref="W196:W201" si="27">(M196-S196)*180/PI()</f>
        <v>3.1268978262376161</v>
      </c>
      <c r="X196" s="13">
        <f t="shared" ref="X196:X201" si="28">(Q196-S196)*180/PI()</f>
        <v>-0.89163106918755453</v>
      </c>
      <c r="Y196" s="13"/>
      <c r="Z196" s="13"/>
      <c r="AB196" t="str">
        <f t="shared" ref="AB196:AB246" si="29">C196&amp;","&amp;D196</f>
        <v>-0.651572327043996,37.6083635703918</v>
      </c>
      <c r="AC196" t="str">
        <f t="shared" ref="AC196:AC246" si="30">G196&amp;","&amp;H196</f>
        <v>2.89814718353801,39.6283503163117</v>
      </c>
      <c r="AD196" t="str">
        <f t="shared" ref="AD196:AD246" si="31">K196&amp;","&amp;L196</f>
        <v>2.84248887947113,42.2456573075274</v>
      </c>
      <c r="AE196" t="str">
        <f t="shared" ref="AE196:AE246" si="32">O196&amp;","&amp;P196</f>
        <v>2.50598104174412,46.4870508200427</v>
      </c>
    </row>
    <row r="197" spans="2:31" x14ac:dyDescent="0.2">
      <c r="B197" s="3">
        <v>195</v>
      </c>
      <c r="C197" s="6">
        <v>-0.65157232704399604</v>
      </c>
      <c r="D197" s="6">
        <v>36.820863570391801</v>
      </c>
      <c r="E197" s="8">
        <v>1.5707963267949001</v>
      </c>
      <c r="F197" s="7"/>
      <c r="G197" s="10">
        <v>2.9411033993777398</v>
      </c>
      <c r="H197" s="10">
        <v>38.842022767817603</v>
      </c>
      <c r="I197" s="10">
        <v>1.50798066086912</v>
      </c>
      <c r="K197" s="10">
        <v>2.8854450953108599</v>
      </c>
      <c r="L197" s="10">
        <v>41.459329759033302</v>
      </c>
      <c r="M197" s="10">
        <v>1.50798066086912</v>
      </c>
      <c r="N197" s="13"/>
      <c r="O197" s="10">
        <v>2.4937265418026402</v>
      </c>
      <c r="P197" s="10">
        <v>45.699646173605402</v>
      </c>
      <c r="Q197" s="10">
        <v>1.4456744254248599</v>
      </c>
      <c r="R197" s="13"/>
      <c r="S197" s="8">
        <v>1.5707963267949001</v>
      </c>
      <c r="T197" s="13"/>
      <c r="U197" s="13">
        <f t="shared" si="26"/>
        <v>0</v>
      </c>
      <c r="V197" s="13">
        <f t="shared" ref="V197:V202" si="33">(I197-S197)*180/PI()</f>
        <v>-3.5990725448509369</v>
      </c>
      <c r="W197" s="13">
        <f t="shared" si="27"/>
        <v>-3.5990725448509369</v>
      </c>
      <c r="X197" s="13">
        <f t="shared" si="28"/>
        <v>-7.168956873155456</v>
      </c>
      <c r="Y197" s="13"/>
      <c r="Z197" s="13"/>
      <c r="AB197" t="str">
        <f t="shared" si="29"/>
        <v>-0.651572327043996,36.8208635703918</v>
      </c>
      <c r="AC197" t="str">
        <f t="shared" si="30"/>
        <v>2.94110339937774,38.8420227678176</v>
      </c>
      <c r="AD197" t="str">
        <f t="shared" si="31"/>
        <v>2.88544509531086,41.4593297590333</v>
      </c>
      <c r="AE197" t="str">
        <f t="shared" si="32"/>
        <v>2.49372654180264,45.6996461736054</v>
      </c>
    </row>
    <row r="198" spans="2:31" x14ac:dyDescent="0.2">
      <c r="B198" s="3">
        <v>196</v>
      </c>
      <c r="C198" s="6">
        <v>-0.65157232704399604</v>
      </c>
      <c r="D198" s="6">
        <v>36.033363570391799</v>
      </c>
      <c r="E198" s="8">
        <v>1.5707963267949001</v>
      </c>
      <c r="F198" s="7"/>
      <c r="G198" s="10">
        <v>2.8916685874783399</v>
      </c>
      <c r="H198" s="10">
        <v>38.0560759188688</v>
      </c>
      <c r="I198" s="10">
        <v>1.50798066086912</v>
      </c>
      <c r="K198" s="10">
        <v>2.83601028341146</v>
      </c>
      <c r="L198" s="10">
        <v>40.673382910084598</v>
      </c>
      <c r="M198" s="10">
        <v>1.52872628977647</v>
      </c>
      <c r="N198" s="13"/>
      <c r="O198" s="10">
        <v>2.3954499416656998</v>
      </c>
      <c r="P198" s="10">
        <v>44.918302484909098</v>
      </c>
      <c r="Q198" s="10">
        <v>1.4433329852899699</v>
      </c>
      <c r="R198" s="13"/>
      <c r="S198" s="8">
        <v>1.5707963267949001</v>
      </c>
      <c r="T198" s="13"/>
      <c r="U198" s="13">
        <f t="shared" si="26"/>
        <v>0</v>
      </c>
      <c r="V198" s="13">
        <f t="shared" si="33"/>
        <v>-3.5990725448509369</v>
      </c>
      <c r="W198" s="13">
        <f t="shared" si="27"/>
        <v>-2.410435565115185</v>
      </c>
      <c r="X198" s="13">
        <f t="shared" si="28"/>
        <v>-7.303111510867196</v>
      </c>
      <c r="Y198" s="13"/>
      <c r="Z198" s="13"/>
      <c r="AB198" t="str">
        <f t="shared" si="29"/>
        <v>-0.651572327043996,36.0333635703918</v>
      </c>
      <c r="AC198" t="str">
        <f t="shared" si="30"/>
        <v>2.89166858747834,38.0560759188688</v>
      </c>
      <c r="AD198" t="str">
        <f t="shared" si="31"/>
        <v>2.83601028341146,40.6733829100846</v>
      </c>
      <c r="AE198" t="str">
        <f t="shared" si="32"/>
        <v>2.3954499416657,44.9183024849091</v>
      </c>
    </row>
    <row r="199" spans="2:31" x14ac:dyDescent="0.2">
      <c r="B199" s="3">
        <v>197</v>
      </c>
      <c r="C199" s="6">
        <v>-0.65157232704399604</v>
      </c>
      <c r="D199" s="6">
        <v>35.245863570391798</v>
      </c>
      <c r="E199" s="8">
        <v>1.5707963267949001</v>
      </c>
      <c r="F199" s="7"/>
      <c r="G199" s="10">
        <v>2.84223377557894</v>
      </c>
      <c r="H199" s="10">
        <v>37.270129069920102</v>
      </c>
      <c r="I199" s="10">
        <v>1.39095095272739</v>
      </c>
      <c r="K199" s="10">
        <v>2.8028899011717701</v>
      </c>
      <c r="L199" s="10">
        <v>39.886579700711202</v>
      </c>
      <c r="M199" s="10">
        <v>1.39095095272739</v>
      </c>
      <c r="N199" s="13"/>
      <c r="O199" s="10">
        <v>2.2953441431213601</v>
      </c>
      <c r="P199" s="10">
        <v>44.137191046574003</v>
      </c>
      <c r="Q199" s="10">
        <v>1.3105318036359399</v>
      </c>
      <c r="R199" s="13"/>
      <c r="S199" s="8">
        <v>1.5707963267949001</v>
      </c>
      <c r="T199" s="13"/>
      <c r="U199" s="13">
        <f t="shared" si="26"/>
        <v>0</v>
      </c>
      <c r="V199" s="13">
        <f t="shared" si="33"/>
        <v>-10.304380899019872</v>
      </c>
      <c r="W199" s="13">
        <f t="shared" si="27"/>
        <v>-10.304380899019872</v>
      </c>
      <c r="X199" s="13">
        <f t="shared" si="28"/>
        <v>-14.912058733993291</v>
      </c>
      <c r="Y199" s="13"/>
      <c r="Z199" s="13"/>
      <c r="AB199" t="str">
        <f t="shared" si="29"/>
        <v>-0.651572327043996,35.2458635703918</v>
      </c>
      <c r="AC199" t="str">
        <f t="shared" si="30"/>
        <v>2.84223377557894,37.2701290699201</v>
      </c>
      <c r="AD199" t="str">
        <f t="shared" si="31"/>
        <v>2.80288990117177,39.8865797007112</v>
      </c>
      <c r="AE199" t="str">
        <f t="shared" si="32"/>
        <v>2.29534414312136,44.137191046574</v>
      </c>
    </row>
    <row r="200" spans="2:31" x14ac:dyDescent="0.2">
      <c r="B200" s="3">
        <v>198</v>
      </c>
      <c r="C200" s="6">
        <v>-0.65157232704399604</v>
      </c>
      <c r="D200" s="6">
        <v>34.458363570391803</v>
      </c>
      <c r="E200" s="8">
        <v>1.5707963267949001</v>
      </c>
      <c r="F200" s="7"/>
      <c r="G200" s="10">
        <v>2.7013677887929299</v>
      </c>
      <c r="H200" s="10">
        <v>36.495330371052603</v>
      </c>
      <c r="I200" s="10">
        <v>1.39095095272739</v>
      </c>
      <c r="K200" s="10">
        <v>2.6620239143857698</v>
      </c>
      <c r="L200" s="10">
        <v>39.111781001843603</v>
      </c>
      <c r="M200" s="10">
        <v>1.4879214172992099</v>
      </c>
      <c r="N200" s="13"/>
      <c r="O200" s="10">
        <v>2.0926919049744201</v>
      </c>
      <c r="P200" s="10">
        <v>43.3762125183789</v>
      </c>
      <c r="Q200" s="10">
        <v>1.4111711609569</v>
      </c>
      <c r="R200" s="13"/>
      <c r="S200" s="8">
        <v>1.5707963267949001</v>
      </c>
      <c r="T200" s="13"/>
      <c r="U200" s="13">
        <f t="shared" si="26"/>
        <v>0</v>
      </c>
      <c r="V200" s="13">
        <f t="shared" si="33"/>
        <v>-10.304380899019872</v>
      </c>
      <c r="W200" s="13">
        <f t="shared" si="27"/>
        <v>-4.7483825416317185</v>
      </c>
      <c r="X200" s="13">
        <f t="shared" si="28"/>
        <v>-9.1458483065932565</v>
      </c>
      <c r="Y200" s="13"/>
      <c r="Z200" s="13"/>
      <c r="AB200" t="str">
        <f t="shared" si="29"/>
        <v>-0.651572327043996,34.4583635703918</v>
      </c>
      <c r="AC200" t="str">
        <f t="shared" si="30"/>
        <v>2.70136778879293,36.4953303710526</v>
      </c>
      <c r="AD200" t="str">
        <f t="shared" si="31"/>
        <v>2.66202391438577,39.1117810018436</v>
      </c>
      <c r="AE200" t="str">
        <f t="shared" si="32"/>
        <v>2.09269190497442,43.3762125183789</v>
      </c>
    </row>
    <row r="201" spans="2:31" x14ac:dyDescent="0.2">
      <c r="B201" s="3">
        <v>199</v>
      </c>
      <c r="C201" s="6">
        <v>-0.65157232704399604</v>
      </c>
      <c r="D201" s="6">
        <v>33.670863570391802</v>
      </c>
      <c r="E201" s="8">
        <v>1.5707963267949001</v>
      </c>
      <c r="F201" s="7"/>
      <c r="G201" s="10">
        <v>2.5605018020069301</v>
      </c>
      <c r="H201" s="10">
        <v>35.720531672184997</v>
      </c>
      <c r="I201" s="10">
        <v>1.5901334476939999</v>
      </c>
      <c r="K201" s="10">
        <v>2.5968346057477798</v>
      </c>
      <c r="L201" s="10">
        <v>38.326983828021497</v>
      </c>
      <c r="M201" s="10">
        <v>1.5901334476939999</v>
      </c>
      <c r="N201" s="13"/>
      <c r="O201" s="10">
        <v>1.9675202377004799</v>
      </c>
      <c r="P201" s="10">
        <v>42.598724059485903</v>
      </c>
      <c r="Q201" s="10">
        <v>1.51998206829424</v>
      </c>
      <c r="R201" s="13"/>
      <c r="S201" s="8">
        <v>1.5707963267949001</v>
      </c>
      <c r="T201" s="13"/>
      <c r="U201" s="13">
        <f t="shared" si="26"/>
        <v>0</v>
      </c>
      <c r="V201" s="13">
        <f t="shared" si="33"/>
        <v>1.1079354154526373</v>
      </c>
      <c r="W201" s="13">
        <f t="shared" si="27"/>
        <v>1.1079354154526373</v>
      </c>
      <c r="X201" s="13">
        <f t="shared" si="28"/>
        <v>-2.9114425511745914</v>
      </c>
      <c r="Y201" s="13"/>
      <c r="Z201" s="13"/>
      <c r="AB201" t="str">
        <f t="shared" si="29"/>
        <v>-0.651572327043996,33.6708635703918</v>
      </c>
      <c r="AC201" t="str">
        <f t="shared" si="30"/>
        <v>2.56050180200693,35.720531672185</v>
      </c>
      <c r="AD201" t="str">
        <f t="shared" si="31"/>
        <v>2.59683460574778,38.3269838280215</v>
      </c>
      <c r="AE201" t="str">
        <f t="shared" si="32"/>
        <v>1.96752023770048,42.5987240594859</v>
      </c>
    </row>
    <row r="202" spans="2:31" x14ac:dyDescent="0.2">
      <c r="B202" s="3">
        <v>200</v>
      </c>
      <c r="C202" s="6">
        <v>-0.65157232704399604</v>
      </c>
      <c r="D202" s="6">
        <v>32.883363570391801</v>
      </c>
      <c r="E202" s="8">
        <v>1.5707963267949001</v>
      </c>
      <c r="F202" s="7"/>
      <c r="G202" s="10">
        <v>2.5757288357140702</v>
      </c>
      <c r="H202" s="10">
        <v>34.933178900268601</v>
      </c>
      <c r="I202" s="10">
        <v>1.5901334476939999</v>
      </c>
      <c r="K202" s="10">
        <v>2.6120616394549101</v>
      </c>
      <c r="L202" s="10">
        <v>37.539631056105002</v>
      </c>
      <c r="M202" s="10">
        <v>1.50482725464908</v>
      </c>
      <c r="N202" s="13"/>
      <c r="O202" s="10">
        <v>1.92752122781777</v>
      </c>
      <c r="P202" s="10">
        <v>41.812240538229098</v>
      </c>
      <c r="Q202" s="10">
        <v>1.4259926099779401</v>
      </c>
      <c r="R202" s="13"/>
      <c r="S202" s="8">
        <v>1.5707963267949001</v>
      </c>
      <c r="T202" s="13"/>
      <c r="U202" s="13">
        <f t="shared" si="26"/>
        <v>0</v>
      </c>
      <c r="V202" s="13">
        <f t="shared" si="33"/>
        <v>1.1079354154526373</v>
      </c>
      <c r="W202" s="13">
        <f t="shared" ref="W196:W246" si="34">(M202-S202)*180/PI()</f>
        <v>-3.7797494123495317</v>
      </c>
      <c r="X202" s="13">
        <f t="shared" ref="X196:X246" si="35">(Q202-S202)*180/PI()</f>
        <v>-8.2966418314193522</v>
      </c>
      <c r="Y202" s="13"/>
      <c r="Z202" s="13"/>
      <c r="AB202" t="str">
        <f t="shared" si="29"/>
        <v>-0.651572327043996,32.8833635703918</v>
      </c>
      <c r="AC202" t="str">
        <f t="shared" si="30"/>
        <v>2.57572883571407,34.9331789002686</v>
      </c>
      <c r="AD202" t="str">
        <f t="shared" si="31"/>
        <v>2.61206163945491,37.539631056105</v>
      </c>
      <c r="AE202" t="str">
        <f t="shared" si="32"/>
        <v>1.92752122781777,41.8122405382291</v>
      </c>
    </row>
    <row r="203" spans="2:31" x14ac:dyDescent="0.2">
      <c r="B203" s="3">
        <v>201</v>
      </c>
      <c r="C203" s="6">
        <v>-0.65157232704399604</v>
      </c>
      <c r="D203" s="6">
        <v>32.095863570391799</v>
      </c>
      <c r="E203" s="8">
        <v>1.5707963267949001</v>
      </c>
      <c r="F203" s="7"/>
      <c r="G203" s="10">
        <v>2.5909558694212</v>
      </c>
      <c r="H203" s="10">
        <v>34.145826128352198</v>
      </c>
      <c r="I203" s="10">
        <v>1.6390879667995</v>
      </c>
      <c r="K203" s="10">
        <v>2.5601486677699099</v>
      </c>
      <c r="L203" s="10">
        <v>36.753844002654297</v>
      </c>
      <c r="M203" s="10">
        <v>1.6390879667995</v>
      </c>
      <c r="N203" s="13"/>
      <c r="O203" s="10">
        <v>1.81388639251466</v>
      </c>
      <c r="P203" s="10">
        <v>41.032982317736298</v>
      </c>
      <c r="Q203" s="10">
        <v>1.5657225364512599</v>
      </c>
      <c r="R203" s="13"/>
      <c r="S203" s="8">
        <v>1.5707963267949001</v>
      </c>
      <c r="T203" s="13"/>
      <c r="U203" s="13">
        <f t="shared" si="26"/>
        <v>0</v>
      </c>
      <c r="V203" s="13">
        <f t="shared" ref="V197:V246" si="36">(I203-S203)*180/PI()</f>
        <v>3.9128227482903459</v>
      </c>
      <c r="W203" s="13">
        <f t="shared" si="34"/>
        <v>3.9128227482903459</v>
      </c>
      <c r="X203" s="13">
        <f t="shared" si="35"/>
        <v>-0.29070677282481477</v>
      </c>
      <c r="Y203" s="13"/>
      <c r="Z203" s="13"/>
      <c r="AB203" t="str">
        <f t="shared" si="29"/>
        <v>-0.651572327043996,32.0958635703918</v>
      </c>
      <c r="AC203" t="str">
        <f t="shared" si="30"/>
        <v>2.5909558694212,34.1458261283522</v>
      </c>
      <c r="AD203" t="str">
        <f t="shared" si="31"/>
        <v>2.56014866776991,36.7538440026543</v>
      </c>
      <c r="AE203" t="str">
        <f t="shared" si="32"/>
        <v>1.81388639251466,41.0329823177363</v>
      </c>
    </row>
    <row r="204" spans="2:31" x14ac:dyDescent="0.2">
      <c r="B204" s="3">
        <v>202</v>
      </c>
      <c r="C204" s="6">
        <v>-0.65157232704399604</v>
      </c>
      <c r="D204" s="6">
        <v>31.308363570391801</v>
      </c>
      <c r="E204" s="8">
        <v>1.5707963267949001</v>
      </c>
      <c r="F204" s="7"/>
      <c r="G204" s="10">
        <v>2.6446937432020201</v>
      </c>
      <c r="H204" s="10">
        <v>33.360161765585502</v>
      </c>
      <c r="I204" s="10">
        <v>1.6390879667995</v>
      </c>
      <c r="K204" s="10">
        <v>2.61388654155073</v>
      </c>
      <c r="L204" s="10">
        <v>35.968179639887602</v>
      </c>
      <c r="M204" s="10">
        <v>1.5407803736369501</v>
      </c>
      <c r="N204" s="13"/>
      <c r="O204" s="10">
        <v>1.8098907997624201</v>
      </c>
      <c r="P204" s="10">
        <v>40.245492454157997</v>
      </c>
      <c r="Q204" s="10">
        <v>1.4638180064724999</v>
      </c>
      <c r="R204" s="13"/>
      <c r="S204" s="8">
        <v>1.5707963267949001</v>
      </c>
      <c r="T204" s="13"/>
      <c r="U204" s="13">
        <f t="shared" si="26"/>
        <v>0</v>
      </c>
      <c r="V204" s="13">
        <f t="shared" si="36"/>
        <v>3.9128227482903459</v>
      </c>
      <c r="W204" s="13">
        <f t="shared" si="34"/>
        <v>-1.7197874340129118</v>
      </c>
      <c r="X204" s="13">
        <f t="shared" si="35"/>
        <v>-6.1294062538721343</v>
      </c>
      <c r="Y204" s="13"/>
      <c r="Z204" s="13"/>
      <c r="AB204" t="str">
        <f t="shared" si="29"/>
        <v>-0.651572327043996,31.3083635703918</v>
      </c>
      <c r="AC204" t="str">
        <f t="shared" si="30"/>
        <v>2.64469374320202,33.3601617655855</v>
      </c>
      <c r="AD204" t="str">
        <f t="shared" si="31"/>
        <v>2.61388654155073,35.9681796398876</v>
      </c>
      <c r="AE204" t="str">
        <f t="shared" si="32"/>
        <v>1.80989079976242,40.245492454158</v>
      </c>
    </row>
    <row r="205" spans="2:31" x14ac:dyDescent="0.2">
      <c r="B205" s="3">
        <v>203</v>
      </c>
      <c r="C205" s="6">
        <v>-0.65157232704399604</v>
      </c>
      <c r="D205" s="6">
        <v>30.5208635703918</v>
      </c>
      <c r="E205" s="8">
        <v>1.5707963267949001</v>
      </c>
      <c r="F205" s="7"/>
      <c r="G205" s="10">
        <v>2.6984316169828402</v>
      </c>
      <c r="H205" s="10">
        <v>32.574497402818899</v>
      </c>
      <c r="I205" s="10">
        <v>1.5407803736369501</v>
      </c>
      <c r="K205" s="10">
        <v>2.5902525276853599</v>
      </c>
      <c r="L205" s="10">
        <v>35.181034365247299</v>
      </c>
      <c r="M205" s="10">
        <v>1.6040795172336899</v>
      </c>
      <c r="N205" s="13"/>
      <c r="O205" s="10">
        <v>1.7258059697649599</v>
      </c>
      <c r="P205" s="10">
        <v>39.462494375383699</v>
      </c>
      <c r="Q205" s="10">
        <v>1.52515899818781</v>
      </c>
      <c r="R205" s="13"/>
      <c r="S205" s="8">
        <v>1.5707963267949001</v>
      </c>
      <c r="T205" s="13"/>
      <c r="U205" s="13">
        <f t="shared" si="26"/>
        <v>0</v>
      </c>
      <c r="V205" s="13">
        <f t="shared" si="36"/>
        <v>-1.7197874340129118</v>
      </c>
      <c r="W205" s="13">
        <f t="shared" si="34"/>
        <v>1.90698634087283</v>
      </c>
      <c r="X205" s="13">
        <f t="shared" si="35"/>
        <v>-2.6148263174379207</v>
      </c>
      <c r="Y205" s="13"/>
      <c r="Z205" s="13"/>
      <c r="AB205" t="str">
        <f t="shared" si="29"/>
        <v>-0.651572327043996,30.5208635703918</v>
      </c>
      <c r="AC205" t="str">
        <f t="shared" si="30"/>
        <v>2.69843161698284,32.5744974028189</v>
      </c>
      <c r="AD205" t="str">
        <f t="shared" si="31"/>
        <v>2.59025252768536,35.1810343652473</v>
      </c>
      <c r="AE205" t="str">
        <f t="shared" si="32"/>
        <v>1.72580596976496,39.4624943753837</v>
      </c>
    </row>
    <row r="206" spans="2:31" x14ac:dyDescent="0.2">
      <c r="B206" s="3">
        <v>204</v>
      </c>
      <c r="C206" s="6">
        <v>-0.65157232704399604</v>
      </c>
      <c r="D206" s="6">
        <v>29.733363570391798</v>
      </c>
      <c r="E206" s="8">
        <v>1.5707963267949001</v>
      </c>
      <c r="F206" s="7"/>
      <c r="G206" s="10">
        <v>2.6747976031174798</v>
      </c>
      <c r="H206" s="10">
        <v>31.7873521281786</v>
      </c>
      <c r="I206" s="10">
        <v>1.6040795172336899</v>
      </c>
      <c r="K206" s="10">
        <v>2.6164582012173598</v>
      </c>
      <c r="L206" s="10">
        <v>34.393970509721697</v>
      </c>
      <c r="M206" s="10">
        <v>1.5672317354107901</v>
      </c>
      <c r="N206" s="13"/>
      <c r="O206" s="10">
        <v>1.6898790477451</v>
      </c>
      <c r="P206" s="10">
        <v>38.6758143220747</v>
      </c>
      <c r="Q206" s="10">
        <v>1.5067490324010699</v>
      </c>
      <c r="R206" s="13"/>
      <c r="S206" s="8">
        <v>1.5707963267949001</v>
      </c>
      <c r="T206" s="13"/>
      <c r="U206" s="13">
        <f t="shared" si="26"/>
        <v>0</v>
      </c>
      <c r="V206" s="13">
        <f t="shared" si="36"/>
        <v>1.90698634087283</v>
      </c>
      <c r="W206" s="13">
        <f t="shared" si="34"/>
        <v>-0.20423604199820106</v>
      </c>
      <c r="X206" s="13">
        <f t="shared" si="35"/>
        <v>-3.669639657998367</v>
      </c>
      <c r="Y206" s="13"/>
      <c r="Z206" s="13"/>
      <c r="AB206" t="str">
        <f t="shared" si="29"/>
        <v>-0.651572327043996,29.7333635703918</v>
      </c>
      <c r="AC206" t="str">
        <f t="shared" si="30"/>
        <v>2.67479760311748,31.7873521281786</v>
      </c>
      <c r="AD206" t="str">
        <f t="shared" si="31"/>
        <v>2.61645820121736,34.3939705097217</v>
      </c>
      <c r="AE206" t="str">
        <f t="shared" si="32"/>
        <v>1.6898790477451,38.6758143220747</v>
      </c>
    </row>
    <row r="207" spans="2:31" x14ac:dyDescent="0.2">
      <c r="B207" s="3">
        <v>205</v>
      </c>
      <c r="C207" s="6">
        <v>-0.65157232704399604</v>
      </c>
      <c r="D207" s="6">
        <v>28.945863570391801</v>
      </c>
      <c r="E207" s="8">
        <v>1.5707963267949001</v>
      </c>
      <c r="F207" s="7"/>
      <c r="G207" s="10">
        <v>2.7010032766494798</v>
      </c>
      <c r="H207" s="10">
        <v>31.000288272652998</v>
      </c>
      <c r="I207" s="10">
        <v>1.5672317354107901</v>
      </c>
      <c r="K207" s="10">
        <v>2.6136510914470601</v>
      </c>
      <c r="L207" s="10">
        <v>33.606475512826698</v>
      </c>
      <c r="M207" s="10">
        <v>1.63260151176012</v>
      </c>
      <c r="N207" s="13"/>
      <c r="O207" s="10">
        <v>1.6394762790709201</v>
      </c>
      <c r="P207" s="10">
        <v>37.889928954536998</v>
      </c>
      <c r="Q207" s="10">
        <v>1.5538649407407401</v>
      </c>
      <c r="R207" s="13"/>
      <c r="S207" s="8">
        <v>1.5707963267949001</v>
      </c>
      <c r="T207" s="13"/>
      <c r="U207" s="13">
        <f t="shared" si="26"/>
        <v>0</v>
      </c>
      <c r="V207" s="13">
        <f t="shared" si="36"/>
        <v>-0.20423604199820106</v>
      </c>
      <c r="W207" s="13">
        <f t="shared" si="34"/>
        <v>3.5411762505325108</v>
      </c>
      <c r="X207" s="13">
        <f t="shared" si="35"/>
        <v>-0.97009696221002839</v>
      </c>
      <c r="Y207" s="13"/>
      <c r="Z207" s="13"/>
      <c r="AB207" t="str">
        <f t="shared" si="29"/>
        <v>-0.651572327043996,28.9458635703918</v>
      </c>
      <c r="AC207" t="str">
        <f t="shared" si="30"/>
        <v>2.70100327664948,31.000288272653</v>
      </c>
      <c r="AD207" t="str">
        <f t="shared" si="31"/>
        <v>2.61365109144706,33.6064755128267</v>
      </c>
      <c r="AE207" t="str">
        <f t="shared" si="32"/>
        <v>1.63947627907092,37.889928954537</v>
      </c>
    </row>
    <row r="208" spans="2:31" x14ac:dyDescent="0.2">
      <c r="B208" s="3">
        <v>206</v>
      </c>
      <c r="C208" s="6">
        <v>-0.65157232704399604</v>
      </c>
      <c r="D208" s="6">
        <v>28.158363570391799</v>
      </c>
      <c r="E208" s="8">
        <v>1.5707963267949001</v>
      </c>
      <c r="F208" s="7"/>
      <c r="G208" s="10">
        <v>2.6981961668791699</v>
      </c>
      <c r="H208" s="10">
        <v>30.212793275757999</v>
      </c>
      <c r="I208" s="10">
        <v>1.63260151176012</v>
      </c>
      <c r="K208" s="10">
        <v>2.6622916939165</v>
      </c>
      <c r="L208" s="10">
        <v>32.820479112204303</v>
      </c>
      <c r="M208" s="10">
        <v>1.5376460869213699</v>
      </c>
      <c r="N208" s="13"/>
      <c r="O208" s="10">
        <v>1.6261434495990299</v>
      </c>
      <c r="P208" s="10">
        <v>37.102541828874998</v>
      </c>
      <c r="Q208" s="10">
        <v>1.4747190199961999</v>
      </c>
      <c r="R208" s="13"/>
      <c r="S208" s="8">
        <v>1.5707963267949001</v>
      </c>
      <c r="T208" s="13"/>
      <c r="U208" s="13">
        <f t="shared" si="26"/>
        <v>0</v>
      </c>
      <c r="V208" s="13">
        <f t="shared" si="36"/>
        <v>3.5411762505325108</v>
      </c>
      <c r="W208" s="13">
        <f t="shared" si="34"/>
        <v>-1.8993688345995743</v>
      </c>
      <c r="X208" s="13">
        <f t="shared" si="35"/>
        <v>-5.5048241865490919</v>
      </c>
      <c r="Y208" s="13"/>
      <c r="Z208" s="13"/>
      <c r="AB208" t="str">
        <f t="shared" si="29"/>
        <v>-0.651572327043996,28.1583635703918</v>
      </c>
      <c r="AC208" t="str">
        <f t="shared" si="30"/>
        <v>2.69819616687917,30.212793275758</v>
      </c>
      <c r="AD208" t="str">
        <f t="shared" si="31"/>
        <v>2.6622916939165,32.8204791122043</v>
      </c>
      <c r="AE208" t="str">
        <f t="shared" si="32"/>
        <v>1.62614344959903,37.102541828875</v>
      </c>
    </row>
    <row r="209" spans="2:31" x14ac:dyDescent="0.2">
      <c r="B209" s="3">
        <v>207</v>
      </c>
      <c r="C209" s="6">
        <v>-0.65157232704399604</v>
      </c>
      <c r="D209" s="6">
        <v>27.370863570391801</v>
      </c>
      <c r="E209" s="8">
        <v>1.5707963267949001</v>
      </c>
      <c r="F209" s="7"/>
      <c r="G209" s="10">
        <v>2.74683676934862</v>
      </c>
      <c r="H209" s="10">
        <v>29.426796875135501</v>
      </c>
      <c r="I209" s="10">
        <v>1.6510128729206399</v>
      </c>
      <c r="K209" s="10">
        <v>2.6361906612002901</v>
      </c>
      <c r="L209" s="10">
        <v>32.033411779575601</v>
      </c>
      <c r="M209" s="10">
        <v>1.6510128729206399</v>
      </c>
      <c r="N209" s="13"/>
      <c r="O209" s="10">
        <v>1.5505989191391101</v>
      </c>
      <c r="P209" s="10">
        <v>36.318673680575998</v>
      </c>
      <c r="Q209" s="10">
        <v>1.57536918533725</v>
      </c>
      <c r="R209" s="13"/>
      <c r="S209" s="8">
        <v>1.5707963267949001</v>
      </c>
      <c r="T209" s="13"/>
      <c r="U209" s="13">
        <f t="shared" si="26"/>
        <v>0</v>
      </c>
      <c r="V209" s="13">
        <f t="shared" si="36"/>
        <v>4.5960695401213858</v>
      </c>
      <c r="W209" s="13">
        <f t="shared" si="34"/>
        <v>4.5960695401213858</v>
      </c>
      <c r="X209" s="13">
        <f t="shared" si="35"/>
        <v>0.26200549478699492</v>
      </c>
      <c r="Y209" s="13"/>
      <c r="Z209" s="13"/>
      <c r="AB209" t="str">
        <f t="shared" si="29"/>
        <v>-0.651572327043996,27.3708635703918</v>
      </c>
      <c r="AC209" t="str">
        <f t="shared" si="30"/>
        <v>2.74683676934862,29.4267968751355</v>
      </c>
      <c r="AD209" t="str">
        <f t="shared" si="31"/>
        <v>2.63619066120029,32.0334117795756</v>
      </c>
      <c r="AE209" t="str">
        <f t="shared" si="32"/>
        <v>1.55059891913911,36.318673680576</v>
      </c>
    </row>
    <row r="210" spans="2:31" x14ac:dyDescent="0.2">
      <c r="B210" s="3">
        <v>208</v>
      </c>
      <c r="C210" s="6">
        <v>-0.65157232704399604</v>
      </c>
      <c r="D210" s="6">
        <v>26.5833635703918</v>
      </c>
      <c r="E210" s="8">
        <v>1.5707963267949001</v>
      </c>
      <c r="F210" s="7"/>
      <c r="G210" s="10">
        <v>2.8099395740412398</v>
      </c>
      <c r="H210" s="10">
        <v>28.641829177685601</v>
      </c>
      <c r="I210" s="10">
        <v>1.6510128729206399</v>
      </c>
      <c r="K210" s="10">
        <v>2.69929346589291</v>
      </c>
      <c r="L210" s="10">
        <v>31.248444082125602</v>
      </c>
      <c r="M210" s="10">
        <v>1.5925604087663101</v>
      </c>
      <c r="N210" s="13"/>
      <c r="O210" s="10">
        <v>1.55420003269068</v>
      </c>
      <c r="P210" s="10">
        <v>35.531181914281802</v>
      </c>
      <c r="Q210" s="10">
        <v>1.5287819167857299</v>
      </c>
      <c r="R210" s="13"/>
      <c r="S210" s="8">
        <v>1.5707963267949001</v>
      </c>
      <c r="T210" s="13"/>
      <c r="U210" s="13">
        <f t="shared" si="26"/>
        <v>0</v>
      </c>
      <c r="V210" s="13">
        <f t="shared" si="36"/>
        <v>4.5960695401213858</v>
      </c>
      <c r="W210" s="13">
        <f t="shared" si="34"/>
        <v>1.2469900419385573</v>
      </c>
      <c r="X210" s="13">
        <f t="shared" si="35"/>
        <v>-2.4072483722576528</v>
      </c>
      <c r="Y210" s="13"/>
      <c r="Z210" s="13"/>
      <c r="AB210" t="str">
        <f t="shared" si="29"/>
        <v>-0.651572327043996,26.5833635703918</v>
      </c>
      <c r="AC210" t="str">
        <f t="shared" si="30"/>
        <v>2.80993957404124,28.6418291776856</v>
      </c>
      <c r="AD210" t="str">
        <f t="shared" si="31"/>
        <v>2.69929346589291,31.2484440821256</v>
      </c>
      <c r="AE210" t="str">
        <f t="shared" si="32"/>
        <v>1.55420003269068,35.5311819142818</v>
      </c>
    </row>
    <row r="211" spans="2:31" x14ac:dyDescent="0.2">
      <c r="B211" s="3">
        <v>209</v>
      </c>
      <c r="C211" s="6">
        <v>-0.65157232704399604</v>
      </c>
      <c r="D211" s="6">
        <v>25.795863570391798</v>
      </c>
      <c r="E211" s="8">
        <v>1.5707963267949001</v>
      </c>
      <c r="F211" s="7"/>
      <c r="G211" s="10">
        <v>2.8730423787338699</v>
      </c>
      <c r="H211" s="10">
        <v>27.856861480235601</v>
      </c>
      <c r="I211" s="10">
        <v>1.5925604087663101</v>
      </c>
      <c r="K211" s="10">
        <v>2.7164313274071201</v>
      </c>
      <c r="L211" s="10">
        <v>30.461130584398902</v>
      </c>
      <c r="M211" s="10">
        <v>1.62603150628127</v>
      </c>
      <c r="N211" s="13"/>
      <c r="O211" s="10">
        <v>1.52112341801163</v>
      </c>
      <c r="P211" s="10">
        <v>34.744376863737898</v>
      </c>
      <c r="Q211" s="10">
        <v>1.54340742885514</v>
      </c>
      <c r="R211" s="13"/>
      <c r="S211" s="8">
        <v>1.5707963267949001</v>
      </c>
      <c r="T211" s="13"/>
      <c r="U211" s="13">
        <f t="shared" si="26"/>
        <v>0</v>
      </c>
      <c r="V211" s="13">
        <f t="shared" si="36"/>
        <v>1.2469900419385573</v>
      </c>
      <c r="W211" s="13">
        <f t="shared" si="34"/>
        <v>3.1647426652165782</v>
      </c>
      <c r="X211" s="13">
        <f t="shared" si="35"/>
        <v>-1.5692682574628076</v>
      </c>
      <c r="Y211" s="13"/>
      <c r="Z211" s="13"/>
      <c r="AB211" t="str">
        <f t="shared" si="29"/>
        <v>-0.651572327043996,25.7958635703918</v>
      </c>
      <c r="AC211" t="str">
        <f t="shared" si="30"/>
        <v>2.87304237873387,27.8568614802356</v>
      </c>
      <c r="AD211" t="str">
        <f t="shared" si="31"/>
        <v>2.71643132740712,30.4611305843989</v>
      </c>
      <c r="AE211" t="str">
        <f t="shared" si="32"/>
        <v>1.52112341801163,34.7443768637379</v>
      </c>
    </row>
    <row r="212" spans="2:31" x14ac:dyDescent="0.2">
      <c r="B212" s="3">
        <v>210</v>
      </c>
      <c r="C212" s="6">
        <v>-0.65157232704399604</v>
      </c>
      <c r="D212" s="6">
        <v>25.008363570391801</v>
      </c>
      <c r="E212" s="8">
        <v>1.5707963267949001</v>
      </c>
      <c r="F212" s="7"/>
      <c r="G212" s="10">
        <v>2.8901802402480699</v>
      </c>
      <c r="H212" s="10">
        <v>27.069547982508801</v>
      </c>
      <c r="I212" s="10">
        <v>1.5170288302486701</v>
      </c>
      <c r="K212" s="10">
        <v>2.75990691658735</v>
      </c>
      <c r="L212" s="10">
        <v>29.674831580746101</v>
      </c>
      <c r="M212" s="10">
        <v>1.5170288302486701</v>
      </c>
      <c r="N212" s="13"/>
      <c r="O212" s="10">
        <v>1.4995573574229999</v>
      </c>
      <c r="P212" s="10">
        <v>33.957172217517702</v>
      </c>
      <c r="Q212" s="10">
        <v>1.4530423852485199</v>
      </c>
      <c r="R212" s="13"/>
      <c r="S212" s="8">
        <v>1.5707963267949001</v>
      </c>
      <c r="T212" s="13"/>
      <c r="U212" s="13">
        <f t="shared" si="26"/>
        <v>0</v>
      </c>
      <c r="V212" s="13">
        <f t="shared" si="36"/>
        <v>-3.080650627083211</v>
      </c>
      <c r="W212" s="13">
        <f t="shared" si="34"/>
        <v>-3.080650627083211</v>
      </c>
      <c r="X212" s="13">
        <f t="shared" si="35"/>
        <v>-6.7468038716377832</v>
      </c>
      <c r="Y212" s="13"/>
      <c r="Z212" s="13"/>
      <c r="AB212" t="str">
        <f t="shared" si="29"/>
        <v>-0.651572327043996,25.0083635703918</v>
      </c>
      <c r="AC212" t="str">
        <f t="shared" si="30"/>
        <v>2.89018024024807,27.0695479825088</v>
      </c>
      <c r="AD212" t="str">
        <f t="shared" si="31"/>
        <v>2.75990691658735,29.6748315807461</v>
      </c>
      <c r="AE212" t="str">
        <f t="shared" si="32"/>
        <v>1.499557357423,33.9571722175177</v>
      </c>
    </row>
    <row r="213" spans="2:31" x14ac:dyDescent="0.2">
      <c r="B213" s="3">
        <v>211</v>
      </c>
      <c r="C213" s="6">
        <v>-0.65157232704399604</v>
      </c>
      <c r="D213" s="6">
        <v>24.220863570391799</v>
      </c>
      <c r="E213" s="8">
        <v>1.5707963267949001</v>
      </c>
      <c r="F213" s="7"/>
      <c r="G213" s="10">
        <v>2.8478587351122702</v>
      </c>
      <c r="H213" s="10">
        <v>26.283186017378899</v>
      </c>
      <c r="I213" s="10">
        <v>1.5170288302486701</v>
      </c>
      <c r="K213" s="10">
        <v>2.7175854114515401</v>
      </c>
      <c r="L213" s="10">
        <v>28.888469615616099</v>
      </c>
      <c r="M213" s="10">
        <v>1.5153455458933101</v>
      </c>
      <c r="N213" s="13"/>
      <c r="O213" s="10">
        <v>1.40704028165616</v>
      </c>
      <c r="P213" s="10">
        <v>33.175125645572301</v>
      </c>
      <c r="Q213" s="10">
        <v>1.44870832236489</v>
      </c>
      <c r="R213" s="13"/>
      <c r="S213" s="8">
        <v>1.5707963267949001</v>
      </c>
      <c r="T213" s="13"/>
      <c r="U213" s="13">
        <f t="shared" si="26"/>
        <v>0</v>
      </c>
      <c r="V213" s="13">
        <f t="shared" si="36"/>
        <v>-3.080650627083211</v>
      </c>
      <c r="W213" s="13">
        <f t="shared" si="34"/>
        <v>-3.1770957163657401</v>
      </c>
      <c r="X213" s="13">
        <f t="shared" si="35"/>
        <v>-6.9951273830140765</v>
      </c>
      <c r="Y213" s="13"/>
      <c r="Z213" s="13"/>
      <c r="AB213" t="str">
        <f t="shared" si="29"/>
        <v>-0.651572327043996,24.2208635703918</v>
      </c>
      <c r="AC213" t="str">
        <f t="shared" si="30"/>
        <v>2.84785873511227,26.2831860173789</v>
      </c>
      <c r="AD213" t="str">
        <f t="shared" si="31"/>
        <v>2.71758541145154,28.8884696156161</v>
      </c>
      <c r="AE213" t="str">
        <f t="shared" si="32"/>
        <v>1.40704028165616,33.1751256455723</v>
      </c>
    </row>
    <row r="214" spans="2:31" x14ac:dyDescent="0.2">
      <c r="B214" s="3">
        <v>212</v>
      </c>
      <c r="C214" s="6">
        <v>-0.65157232704399604</v>
      </c>
      <c r="D214" s="6">
        <v>23.433363570391801</v>
      </c>
      <c r="E214" s="8">
        <v>1.5707963267949001</v>
      </c>
      <c r="F214" s="7"/>
      <c r="G214" s="10">
        <v>2.80553722997647</v>
      </c>
      <c r="H214" s="10">
        <v>25.4968240522489</v>
      </c>
      <c r="I214" s="10">
        <v>1.5153455458933101</v>
      </c>
      <c r="K214" s="10">
        <v>2.67394029610512</v>
      </c>
      <c r="L214" s="10">
        <v>28.102180003636899</v>
      </c>
      <c r="M214" s="10">
        <v>1.5855595961739399</v>
      </c>
      <c r="N214" s="13"/>
      <c r="O214" s="10">
        <v>1.3111346464035301</v>
      </c>
      <c r="P214" s="10">
        <v>32.393487392205202</v>
      </c>
      <c r="Q214" s="10">
        <v>1.5019132077499899</v>
      </c>
      <c r="R214" s="13"/>
      <c r="S214" s="8">
        <v>1.5707963267949001</v>
      </c>
      <c r="T214" s="13"/>
      <c r="U214" s="13">
        <f t="shared" si="26"/>
        <v>0</v>
      </c>
      <c r="V214" s="13">
        <f t="shared" si="36"/>
        <v>-3.1770957163657401</v>
      </c>
      <c r="W214" s="13">
        <f t="shared" si="34"/>
        <v>0.8458730272337055</v>
      </c>
      <c r="X214" s="13">
        <f t="shared" si="35"/>
        <v>-3.9467120009705758</v>
      </c>
      <c r="Y214" s="13"/>
      <c r="Z214" s="13"/>
      <c r="AB214" t="str">
        <f t="shared" si="29"/>
        <v>-0.651572327043996,23.4333635703918</v>
      </c>
      <c r="AC214" t="str">
        <f t="shared" si="30"/>
        <v>2.80553722997647,25.4968240522489</v>
      </c>
      <c r="AD214" t="str">
        <f t="shared" si="31"/>
        <v>2.67394029610512,28.1021800036369</v>
      </c>
      <c r="AE214" t="str">
        <f t="shared" si="32"/>
        <v>1.31113464640353,32.3934873922052</v>
      </c>
    </row>
    <row r="215" spans="2:31" x14ac:dyDescent="0.2">
      <c r="B215" s="3">
        <v>213</v>
      </c>
      <c r="C215" s="6">
        <v>-0.65157232704399604</v>
      </c>
      <c r="D215" s="6">
        <v>22.6458635703918</v>
      </c>
      <c r="E215" s="8">
        <v>1.5707963267949001</v>
      </c>
      <c r="F215" s="7"/>
      <c r="G215" s="10">
        <v>2.7618921146300499</v>
      </c>
      <c r="H215" s="10">
        <v>24.710534440269701</v>
      </c>
      <c r="I215" s="10">
        <v>1.5855595961739399</v>
      </c>
      <c r="K215" s="10">
        <v>2.6855659484205701</v>
      </c>
      <c r="L215" s="10">
        <v>27.314765821514101</v>
      </c>
      <c r="M215" s="10">
        <v>1.54538282904695</v>
      </c>
      <c r="N215" s="13"/>
      <c r="O215" s="10">
        <v>1.2569320780465401</v>
      </c>
      <c r="P215" s="10">
        <v>31.607854951694001</v>
      </c>
      <c r="Q215" s="10">
        <v>1.47923323628222</v>
      </c>
      <c r="R215" s="13"/>
      <c r="S215" s="8">
        <v>1.5707963267949001</v>
      </c>
      <c r="T215" s="13"/>
      <c r="U215" s="13">
        <f t="shared" si="26"/>
        <v>0</v>
      </c>
      <c r="V215" s="13">
        <f t="shared" si="36"/>
        <v>0.8458730272337055</v>
      </c>
      <c r="W215" s="13">
        <f t="shared" si="34"/>
        <v>-1.4560861636227629</v>
      </c>
      <c r="X215" s="13">
        <f t="shared" si="35"/>
        <v>-5.2461786455509172</v>
      </c>
      <c r="Y215" s="13"/>
      <c r="Z215" s="13"/>
      <c r="AB215" t="str">
        <f t="shared" si="29"/>
        <v>-0.651572327043996,22.6458635703918</v>
      </c>
      <c r="AC215" t="str">
        <f t="shared" si="30"/>
        <v>2.76189211463005,24.7105344402697</v>
      </c>
      <c r="AD215" t="str">
        <f t="shared" si="31"/>
        <v>2.68556594842057,27.3147658215141</v>
      </c>
      <c r="AE215" t="str">
        <f t="shared" si="32"/>
        <v>1.25693207804654,31.607854951694</v>
      </c>
    </row>
    <row r="216" spans="2:31" x14ac:dyDescent="0.2">
      <c r="B216" s="3">
        <v>214</v>
      </c>
      <c r="C216" s="6">
        <v>-0.65157232704399604</v>
      </c>
      <c r="D216" s="6">
        <v>21.858363570391798</v>
      </c>
      <c r="E216" s="8">
        <v>1.5707963267949001</v>
      </c>
      <c r="F216" s="7"/>
      <c r="G216" s="10">
        <v>2.7735177669455</v>
      </c>
      <c r="H216" s="10">
        <v>23.923120258146898</v>
      </c>
      <c r="I216" s="10">
        <v>1.54538282904695</v>
      </c>
      <c r="K216" s="10">
        <v>2.66555497310733</v>
      </c>
      <c r="L216" s="10">
        <v>26.5275201096381</v>
      </c>
      <c r="M216" s="10">
        <v>1.55372873326973</v>
      </c>
      <c r="N216" s="13"/>
      <c r="O216" s="10">
        <v>1.18492685565712</v>
      </c>
      <c r="P216" s="10">
        <v>30.823653767080899</v>
      </c>
      <c r="Q216" s="10">
        <v>1.47580448296147</v>
      </c>
      <c r="R216" s="13"/>
      <c r="S216" s="8">
        <v>1.5707963267949001</v>
      </c>
      <c r="T216" s="13"/>
      <c r="U216" s="13">
        <f t="shared" si="26"/>
        <v>0</v>
      </c>
      <c r="V216" s="13">
        <f t="shared" si="36"/>
        <v>-1.4560861636227629</v>
      </c>
      <c r="W216" s="13">
        <f t="shared" si="34"/>
        <v>-0.97790107543705562</v>
      </c>
      <c r="X216" s="13">
        <f t="shared" si="35"/>
        <v>-5.4426317398213575</v>
      </c>
      <c r="Y216" s="13"/>
      <c r="Z216" s="13"/>
      <c r="AB216" t="str">
        <f t="shared" si="29"/>
        <v>-0.651572327043996,21.8583635703918</v>
      </c>
      <c r="AC216" t="str">
        <f t="shared" si="30"/>
        <v>2.7735177669455,23.9231202581469</v>
      </c>
      <c r="AD216" t="str">
        <f t="shared" si="31"/>
        <v>2.66555497310733,26.5275201096381</v>
      </c>
      <c r="AE216" t="str">
        <f t="shared" si="32"/>
        <v>1.18492685565712,30.8236537670809</v>
      </c>
    </row>
    <row r="217" spans="2:31" x14ac:dyDescent="0.2">
      <c r="B217" s="3">
        <v>215</v>
      </c>
      <c r="C217" s="6">
        <v>-0.65157232704399604</v>
      </c>
      <c r="D217" s="6">
        <v>21.070863570391801</v>
      </c>
      <c r="E217" s="8">
        <v>1.5707963267949001</v>
      </c>
      <c r="F217" s="7"/>
      <c r="G217" s="10">
        <v>2.7535067916322502</v>
      </c>
      <c r="H217" s="10">
        <v>23.135874546270902</v>
      </c>
      <c r="I217" s="10">
        <v>1.55372873326973</v>
      </c>
      <c r="K217" s="10">
        <v>2.65211489575035</v>
      </c>
      <c r="L217" s="10">
        <v>25.740134807311101</v>
      </c>
      <c r="M217" s="10">
        <v>1.63074224731162</v>
      </c>
      <c r="N217" s="13"/>
      <c r="O217" s="10">
        <v>1.1102332293791599</v>
      </c>
      <c r="P217" s="10">
        <v>30.039704079796401</v>
      </c>
      <c r="Q217" s="10">
        <v>1.5579420779765001</v>
      </c>
      <c r="R217" s="13"/>
      <c r="S217" s="8">
        <v>1.5707963267949001</v>
      </c>
      <c r="T217" s="13"/>
      <c r="U217" s="13">
        <f t="shared" si="26"/>
        <v>0</v>
      </c>
      <c r="V217" s="13">
        <f t="shared" si="36"/>
        <v>-0.97790107543705562</v>
      </c>
      <c r="W217" s="13">
        <f t="shared" si="34"/>
        <v>3.4346482446347397</v>
      </c>
      <c r="X217" s="13">
        <f t="shared" si="35"/>
        <v>-0.73649420610534688</v>
      </c>
      <c r="Y217" s="13"/>
      <c r="Z217" s="13"/>
      <c r="AB217" t="str">
        <f t="shared" si="29"/>
        <v>-0.651572327043996,21.0708635703918</v>
      </c>
      <c r="AC217" t="str">
        <f t="shared" si="30"/>
        <v>2.75350679163225,23.1358745462709</v>
      </c>
      <c r="AD217" t="str">
        <f t="shared" si="31"/>
        <v>2.65211489575035,25.7401348073111</v>
      </c>
      <c r="AE217" t="str">
        <f t="shared" si="32"/>
        <v>1.11023322937916,30.0397040797964</v>
      </c>
    </row>
    <row r="218" spans="2:31" x14ac:dyDescent="0.2">
      <c r="B218" s="3">
        <v>216</v>
      </c>
      <c r="C218" s="6">
        <v>-0.65157232704399604</v>
      </c>
      <c r="D218" s="6">
        <v>20.283363570391799</v>
      </c>
      <c r="E218" s="8">
        <v>1.5707963267949001</v>
      </c>
      <c r="F218" s="7"/>
      <c r="G218" s="10">
        <v>2.7400667142752799</v>
      </c>
      <c r="H218" s="10">
        <v>22.348489243943899</v>
      </c>
      <c r="I218" s="10">
        <v>1.46248940948151</v>
      </c>
      <c r="K218" s="10">
        <v>2.6992940398254701</v>
      </c>
      <c r="L218" s="10">
        <v>24.954049329538901</v>
      </c>
      <c r="M218" s="10">
        <v>1.46248940948151</v>
      </c>
      <c r="N218" s="13"/>
      <c r="O218" s="10">
        <v>1.1001107871981199</v>
      </c>
      <c r="P218" s="10">
        <v>29.252269138887499</v>
      </c>
      <c r="Q218" s="10">
        <v>1.39664599221207</v>
      </c>
      <c r="R218" s="13"/>
      <c r="S218" s="8">
        <v>1.5707963267949001</v>
      </c>
      <c r="T218" s="13"/>
      <c r="U218" s="13">
        <f t="shared" si="26"/>
        <v>0</v>
      </c>
      <c r="V218" s="13">
        <f t="shared" si="36"/>
        <v>-6.2055292541296412</v>
      </c>
      <c r="W218" s="13">
        <f t="shared" si="34"/>
        <v>-6.2055292541296412</v>
      </c>
      <c r="X218" s="13">
        <f t="shared" si="35"/>
        <v>-9.9780791723873499</v>
      </c>
      <c r="Y218" s="13"/>
      <c r="Z218" s="13"/>
      <c r="AB218" t="str">
        <f t="shared" si="29"/>
        <v>-0.651572327043996,20.2833635703918</v>
      </c>
      <c r="AC218" t="str">
        <f t="shared" si="30"/>
        <v>2.74006671427528,22.3484892439439</v>
      </c>
      <c r="AD218" t="str">
        <f t="shared" si="31"/>
        <v>2.69929403982547,24.9540493295389</v>
      </c>
      <c r="AE218" t="str">
        <f t="shared" si="32"/>
        <v>1.10011078719812,29.2522691388875</v>
      </c>
    </row>
    <row r="219" spans="2:31" x14ac:dyDescent="0.2">
      <c r="B219" s="3">
        <v>217</v>
      </c>
      <c r="C219" s="6">
        <v>-0.65157232704399604</v>
      </c>
      <c r="D219" s="6">
        <v>19.495863570391801</v>
      </c>
      <c r="E219" s="8">
        <v>1.5707963267949001</v>
      </c>
      <c r="F219" s="7"/>
      <c r="G219" s="10">
        <v>2.6549416699044399</v>
      </c>
      <c r="H219" s="10">
        <v>21.565603571051099</v>
      </c>
      <c r="I219" s="10">
        <v>1.58741423585816</v>
      </c>
      <c r="K219" s="10">
        <v>2.6141689954546399</v>
      </c>
      <c r="L219" s="10">
        <v>24.171163656646101</v>
      </c>
      <c r="M219" s="10">
        <v>1.58741423585816</v>
      </c>
      <c r="N219" s="13"/>
      <c r="O219" s="10">
        <v>0.96365957012325398</v>
      </c>
      <c r="P219" s="10">
        <v>28.476680771672701</v>
      </c>
      <c r="Q219" s="10">
        <v>1.5066424481142699</v>
      </c>
      <c r="R219" s="13"/>
      <c r="S219" s="8">
        <v>1.5707963267949001</v>
      </c>
      <c r="T219" s="13"/>
      <c r="U219" s="13">
        <f t="shared" si="26"/>
        <v>0</v>
      </c>
      <c r="V219" s="13">
        <f t="shared" si="36"/>
        <v>0.95213605365699072</v>
      </c>
      <c r="W219" s="13">
        <f t="shared" si="34"/>
        <v>0.95213605365699072</v>
      </c>
      <c r="X219" s="13">
        <f t="shared" si="35"/>
        <v>-3.6757464877944184</v>
      </c>
      <c r="Y219" s="13"/>
      <c r="Z219" s="13"/>
      <c r="AB219" t="str">
        <f t="shared" si="29"/>
        <v>-0.651572327043996,19.4958635703918</v>
      </c>
      <c r="AC219" t="str">
        <f t="shared" si="30"/>
        <v>2.65494166990444,21.5656035710511</v>
      </c>
      <c r="AD219" t="str">
        <f t="shared" si="31"/>
        <v>2.61416899545464,24.1711636566461</v>
      </c>
      <c r="AE219" t="str">
        <f t="shared" si="32"/>
        <v>0.963659570123254,28.4766807716727</v>
      </c>
    </row>
    <row r="220" spans="2:31" x14ac:dyDescent="0.2">
      <c r="B220" s="3">
        <v>218</v>
      </c>
      <c r="C220" s="6">
        <v>-0.65157232704399604</v>
      </c>
      <c r="D220" s="6">
        <v>18.7083635703918</v>
      </c>
      <c r="E220" s="8">
        <v>1.5707963267949001</v>
      </c>
      <c r="F220" s="7"/>
      <c r="G220" s="10">
        <v>2.6680276709784598</v>
      </c>
      <c r="H220" s="10">
        <v>20.778212304541299</v>
      </c>
      <c r="I220" s="10">
        <v>1.58741423585816</v>
      </c>
      <c r="K220" s="10">
        <v>2.6272549965286598</v>
      </c>
      <c r="L220" s="10">
        <v>23.383772390136301</v>
      </c>
      <c r="M220" s="10">
        <v>1.4993734389612201</v>
      </c>
      <c r="N220" s="13"/>
      <c r="O220" s="10">
        <v>0.91317303870412603</v>
      </c>
      <c r="P220" s="10">
        <v>27.690800780741998</v>
      </c>
      <c r="Q220" s="10">
        <v>1.4368431960167101</v>
      </c>
      <c r="R220" s="13"/>
      <c r="S220" s="8">
        <v>1.5707963267949001</v>
      </c>
      <c r="T220" s="13"/>
      <c r="U220" s="13">
        <f t="shared" si="26"/>
        <v>0</v>
      </c>
      <c r="V220" s="13">
        <f t="shared" si="36"/>
        <v>0.95213605365699072</v>
      </c>
      <c r="W220" s="13">
        <f t="shared" si="34"/>
        <v>-4.0922300335061399</v>
      </c>
      <c r="X220" s="13">
        <f t="shared" si="35"/>
        <v>-7.674949046154258</v>
      </c>
      <c r="Y220" s="13"/>
      <c r="Z220" s="13"/>
      <c r="AB220" t="str">
        <f t="shared" si="29"/>
        <v>-0.651572327043996,18.7083635703918</v>
      </c>
      <c r="AC220" t="str">
        <f t="shared" si="30"/>
        <v>2.66802767097846,20.7782123045413</v>
      </c>
      <c r="AD220" t="str">
        <f t="shared" si="31"/>
        <v>2.62725499652866,23.3837723901363</v>
      </c>
      <c r="AE220" t="str">
        <f t="shared" si="32"/>
        <v>0.913173038704126,27.690800780742</v>
      </c>
    </row>
    <row r="221" spans="2:31" x14ac:dyDescent="0.2">
      <c r="B221" s="3">
        <v>219</v>
      </c>
      <c r="C221" s="6">
        <v>-0.65157232704399604</v>
      </c>
      <c r="D221" s="6">
        <v>17.920863570391798</v>
      </c>
      <c r="E221" s="8">
        <v>1.5707963267949001</v>
      </c>
      <c r="F221" s="7"/>
      <c r="G221" s="10">
        <v>2.68111367205249</v>
      </c>
      <c r="H221" s="10">
        <v>19.990821038031498</v>
      </c>
      <c r="I221" s="10">
        <v>1.4993734389612201</v>
      </c>
      <c r="K221" s="10">
        <v>2.5710572803796601</v>
      </c>
      <c r="L221" s="10">
        <v>22.598280145298901</v>
      </c>
      <c r="M221" s="10">
        <v>1.5212178129385701</v>
      </c>
      <c r="N221" s="13"/>
      <c r="O221" s="10">
        <v>0.80800013519870895</v>
      </c>
      <c r="P221" s="10">
        <v>26.910355452504199</v>
      </c>
      <c r="Q221" s="10">
        <v>1.4544853944884799</v>
      </c>
      <c r="R221" s="13"/>
      <c r="S221" s="8">
        <v>1.5707963267949001</v>
      </c>
      <c r="T221" s="13"/>
      <c r="U221" s="13">
        <f t="shared" si="26"/>
        <v>0</v>
      </c>
      <c r="V221" s="13">
        <f t="shared" si="36"/>
        <v>-4.0922300335061399</v>
      </c>
      <c r="W221" s="13">
        <f t="shared" si="34"/>
        <v>-2.8406395984985839</v>
      </c>
      <c r="X221" s="13">
        <f t="shared" si="35"/>
        <v>-6.6641255323896953</v>
      </c>
      <c r="Y221" s="13"/>
      <c r="Z221" s="13"/>
      <c r="AB221" t="str">
        <f t="shared" si="29"/>
        <v>-0.651572327043996,17.9208635703918</v>
      </c>
      <c r="AC221" t="str">
        <f t="shared" si="30"/>
        <v>2.68111367205249,19.9908210380315</v>
      </c>
      <c r="AD221" t="str">
        <f t="shared" si="31"/>
        <v>2.57105728037966,22.5982801452989</v>
      </c>
      <c r="AE221" t="str">
        <f t="shared" si="32"/>
        <v>0.808000135198709,26.9103554525042</v>
      </c>
    </row>
    <row r="222" spans="2:31" x14ac:dyDescent="0.2">
      <c r="B222" s="3">
        <v>220</v>
      </c>
      <c r="C222" s="6">
        <v>-0.65157232704399604</v>
      </c>
      <c r="D222" s="6">
        <v>17.133363570391801</v>
      </c>
      <c r="E222" s="8">
        <v>1.5707963267949001</v>
      </c>
      <c r="F222" s="7"/>
      <c r="G222" s="10">
        <v>2.62491595590348</v>
      </c>
      <c r="H222" s="10">
        <v>19.205328793194099</v>
      </c>
      <c r="I222" s="10">
        <v>1.5212178129385701</v>
      </c>
      <c r="K222" s="10">
        <v>2.5320301935893701</v>
      </c>
      <c r="L222" s="10">
        <v>21.811747795998102</v>
      </c>
      <c r="M222" s="10">
        <v>1.6165637454097299</v>
      </c>
      <c r="N222" s="13"/>
      <c r="O222" s="10">
        <v>0.71661165579263597</v>
      </c>
      <c r="P222" s="10">
        <v>26.1281761918281</v>
      </c>
      <c r="Q222" s="10">
        <v>1.5437487452094101</v>
      </c>
      <c r="R222" s="13"/>
      <c r="S222" s="8">
        <v>1.5707963267949001</v>
      </c>
      <c r="T222" s="13"/>
      <c r="U222" s="13">
        <f t="shared" si="26"/>
        <v>0</v>
      </c>
      <c r="V222" s="13">
        <f t="shared" si="36"/>
        <v>-2.8406395984985839</v>
      </c>
      <c r="W222" s="13">
        <f t="shared" si="34"/>
        <v>2.6222799258382277</v>
      </c>
      <c r="X222" s="13">
        <f t="shared" si="35"/>
        <v>-1.5497122708843425</v>
      </c>
      <c r="Y222" s="13"/>
      <c r="Z222" s="13"/>
      <c r="AB222" t="str">
        <f t="shared" si="29"/>
        <v>-0.651572327043996,17.1333635703918</v>
      </c>
      <c r="AC222" t="str">
        <f t="shared" si="30"/>
        <v>2.62491595590348,19.2053287931941</v>
      </c>
      <c r="AD222" t="str">
        <f t="shared" si="31"/>
        <v>2.53203019358937,21.8117477959981</v>
      </c>
      <c r="AE222" t="str">
        <f t="shared" si="32"/>
        <v>0.716611655792636,26.1281761918281</v>
      </c>
    </row>
    <row r="223" spans="2:31" x14ac:dyDescent="0.2">
      <c r="B223" s="3">
        <v>221</v>
      </c>
      <c r="C223" s="6">
        <v>-0.65157232704399604</v>
      </c>
      <c r="D223" s="6">
        <v>16.345863570391799</v>
      </c>
      <c r="E223" s="8">
        <v>1.5707963267949001</v>
      </c>
      <c r="F223" s="7"/>
      <c r="G223" s="10">
        <v>2.5858888691131998</v>
      </c>
      <c r="H223" s="10">
        <v>18.418796443893299</v>
      </c>
      <c r="I223" s="10">
        <v>1.6165637454097299</v>
      </c>
      <c r="K223" s="10">
        <v>2.56805945451916</v>
      </c>
      <c r="L223" s="10">
        <v>21.025072423079401</v>
      </c>
      <c r="M223" s="10">
        <v>1.5662518447037399</v>
      </c>
      <c r="N223" s="13"/>
      <c r="O223" s="10">
        <v>0.695314282274902</v>
      </c>
      <c r="P223" s="10">
        <v>25.3409642306123</v>
      </c>
      <c r="Q223" s="10">
        <v>1.49049132764531</v>
      </c>
      <c r="R223" s="13"/>
      <c r="S223" s="8">
        <v>1.5707963267949001</v>
      </c>
      <c r="T223" s="13"/>
      <c r="U223" s="13">
        <f t="shared" si="26"/>
        <v>0</v>
      </c>
      <c r="V223" s="13">
        <f t="shared" si="36"/>
        <v>2.6222799258382277</v>
      </c>
      <c r="W223" s="13">
        <f t="shared" si="34"/>
        <v>-0.2603796438962665</v>
      </c>
      <c r="X223" s="13">
        <f t="shared" si="35"/>
        <v>-4.6011375250731783</v>
      </c>
      <c r="Y223" s="13"/>
      <c r="Z223" s="13"/>
      <c r="AB223" t="str">
        <f t="shared" si="29"/>
        <v>-0.651572327043996,16.3458635703918</v>
      </c>
      <c r="AC223" t="str">
        <f t="shared" si="30"/>
        <v>2.5858888691132,18.4187964438933</v>
      </c>
      <c r="AD223" t="str">
        <f t="shared" si="31"/>
        <v>2.56805945451916,21.0250724230794</v>
      </c>
      <c r="AE223" t="str">
        <f t="shared" si="32"/>
        <v>0.695314282274902,25.3409642306123</v>
      </c>
    </row>
    <row r="224" spans="2:31" x14ac:dyDescent="0.2">
      <c r="B224" s="3">
        <v>222</v>
      </c>
      <c r="C224" s="6">
        <v>-0.65157232704399604</v>
      </c>
      <c r="D224" s="6">
        <v>15.5583635703918</v>
      </c>
      <c r="E224" s="8">
        <v>1.5707963267949001</v>
      </c>
      <c r="F224" s="7"/>
      <c r="G224" s="10">
        <v>2.6219181300429799</v>
      </c>
      <c r="H224" s="10">
        <v>17.632121070974598</v>
      </c>
      <c r="I224" s="10">
        <v>1.5662518447037399</v>
      </c>
      <c r="K224" s="10">
        <v>2.5644806871907102</v>
      </c>
      <c r="L224" s="10">
        <v>20.2375805549154</v>
      </c>
      <c r="M224" s="10">
        <v>1.66607871318874</v>
      </c>
      <c r="N224" s="13"/>
      <c r="O224" s="10">
        <v>0.63214204506275895</v>
      </c>
      <c r="P224" s="10">
        <v>24.5560021178669</v>
      </c>
      <c r="Q224" s="10">
        <v>1.5991861879659099</v>
      </c>
      <c r="R224" s="13"/>
      <c r="S224" s="8">
        <v>1.5707963267949001</v>
      </c>
      <c r="T224" s="13"/>
      <c r="U224" s="13">
        <f t="shared" si="26"/>
        <v>0</v>
      </c>
      <c r="V224" s="13">
        <f t="shared" si="36"/>
        <v>-0.2603796438962665</v>
      </c>
      <c r="W224" s="13">
        <f t="shared" si="34"/>
        <v>5.4592786023017661</v>
      </c>
      <c r="X224" s="13">
        <f t="shared" si="35"/>
        <v>1.6266192260611965</v>
      </c>
      <c r="Y224" s="13"/>
      <c r="Z224" s="13"/>
      <c r="AB224" t="str">
        <f t="shared" si="29"/>
        <v>-0.651572327043996,15.5583635703918</v>
      </c>
      <c r="AC224" t="str">
        <f t="shared" si="30"/>
        <v>2.62191813004298,17.6321210709746</v>
      </c>
      <c r="AD224" t="str">
        <f t="shared" si="31"/>
        <v>2.56448068719071,20.2375805549154</v>
      </c>
      <c r="AE224" t="str">
        <f t="shared" si="32"/>
        <v>0.632142045062759,24.5560021178669</v>
      </c>
    </row>
    <row r="225" spans="2:31" x14ac:dyDescent="0.2">
      <c r="B225" s="3">
        <v>223</v>
      </c>
      <c r="C225" s="6">
        <v>-0.65157232704399604</v>
      </c>
      <c r="D225" s="6">
        <v>14.7708635703918</v>
      </c>
      <c r="E225" s="8">
        <v>1.5707963267949001</v>
      </c>
      <c r="F225" s="7"/>
      <c r="G225" s="10">
        <v>2.6183393627145302</v>
      </c>
      <c r="H225" s="10">
        <v>16.844629202810601</v>
      </c>
      <c r="I225" s="10">
        <v>1.5495977973839901</v>
      </c>
      <c r="K225" s="10">
        <v>2.6394020810622201</v>
      </c>
      <c r="L225" s="10">
        <v>19.453652602396598</v>
      </c>
      <c r="M225" s="10">
        <v>1.5495977973839901</v>
      </c>
      <c r="N225" s="13"/>
      <c r="O225" s="10">
        <v>0.65449605762232599</v>
      </c>
      <c r="P225" s="10">
        <v>23.7688194528377</v>
      </c>
      <c r="Q225" s="10">
        <v>1.48561439376325</v>
      </c>
      <c r="R225" s="13"/>
      <c r="S225" s="8">
        <v>1.5707963267949001</v>
      </c>
      <c r="T225" s="13"/>
      <c r="U225" s="13">
        <f t="shared" si="26"/>
        <v>0</v>
      </c>
      <c r="V225" s="13">
        <f t="shared" si="36"/>
        <v>-1.214586267129093</v>
      </c>
      <c r="W225" s="13">
        <f t="shared" si="34"/>
        <v>-1.214586267129093</v>
      </c>
      <c r="X225" s="13">
        <f t="shared" si="35"/>
        <v>-4.8805652534795687</v>
      </c>
      <c r="Y225" s="13"/>
      <c r="Z225" s="13"/>
      <c r="AB225" t="str">
        <f t="shared" si="29"/>
        <v>-0.651572327043996,14.7708635703918</v>
      </c>
      <c r="AC225" t="str">
        <f t="shared" si="30"/>
        <v>2.61833936271453,16.8446292028106</v>
      </c>
      <c r="AD225" t="str">
        <f t="shared" si="31"/>
        <v>2.63940208106222,19.4536526023966</v>
      </c>
      <c r="AE225" t="str">
        <f t="shared" si="32"/>
        <v>0.654496057622326,23.7688194528377</v>
      </c>
    </row>
    <row r="226" spans="2:31" x14ac:dyDescent="0.2">
      <c r="B226" s="3">
        <v>224</v>
      </c>
      <c r="C226" s="6">
        <v>-0.65157232704399604</v>
      </c>
      <c r="D226" s="6">
        <v>13.9833635703918</v>
      </c>
      <c r="E226" s="8">
        <v>1.5707963267949001</v>
      </c>
      <c r="F226" s="7"/>
      <c r="G226" s="10">
        <v>2.6016467710819202</v>
      </c>
      <c r="H226" s="10">
        <v>16.057306138633901</v>
      </c>
      <c r="I226" s="10">
        <v>1.6597916638416901</v>
      </c>
      <c r="K226" s="10">
        <v>2.6227094894296101</v>
      </c>
      <c r="L226" s="10">
        <v>18.666329538219902</v>
      </c>
      <c r="M226" s="10">
        <v>1.6597916638416901</v>
      </c>
      <c r="N226" s="13"/>
      <c r="O226" s="10">
        <v>0.587496378519757</v>
      </c>
      <c r="P226" s="10">
        <v>22.984174760636101</v>
      </c>
      <c r="Q226" s="10">
        <v>1.5842523355709199</v>
      </c>
      <c r="R226" s="13"/>
      <c r="S226" s="8">
        <v>1.5707963267949001</v>
      </c>
      <c r="T226" s="13"/>
      <c r="U226" s="13">
        <f t="shared" si="26"/>
        <v>0</v>
      </c>
      <c r="V226" s="13">
        <f t="shared" si="36"/>
        <v>5.0990572091253252</v>
      </c>
      <c r="W226" s="13">
        <f t="shared" si="34"/>
        <v>5.0990572091253252</v>
      </c>
      <c r="X226" s="13">
        <f t="shared" si="35"/>
        <v>0.7709725119569325</v>
      </c>
      <c r="Y226" s="13"/>
      <c r="Z226" s="13"/>
      <c r="AB226" t="str">
        <f t="shared" si="29"/>
        <v>-0.651572327043996,13.9833635703918</v>
      </c>
      <c r="AC226" t="str">
        <f t="shared" si="30"/>
        <v>2.60164677108192,16.0573061386339</v>
      </c>
      <c r="AD226" t="str">
        <f t="shared" si="31"/>
        <v>2.62270948942961,18.6663295382199</v>
      </c>
      <c r="AE226" t="str">
        <f t="shared" si="32"/>
        <v>0.587496378519757,22.9841747606361</v>
      </c>
    </row>
    <row r="227" spans="2:31" x14ac:dyDescent="0.2">
      <c r="B227" s="3">
        <v>225</v>
      </c>
      <c r="C227" s="6">
        <v>-0.65157232704399604</v>
      </c>
      <c r="D227" s="6">
        <v>13.195863570391801</v>
      </c>
      <c r="E227" s="8">
        <v>1.5707963267949001</v>
      </c>
      <c r="F227" s="7"/>
      <c r="G227" s="10">
        <v>2.6716381229963999</v>
      </c>
      <c r="H227" s="10">
        <v>15.2729226478227</v>
      </c>
      <c r="I227" s="10">
        <v>1.54319393513681</v>
      </c>
      <c r="K227" s="10">
        <v>2.6927008413440801</v>
      </c>
      <c r="L227" s="10">
        <v>17.881946047408601</v>
      </c>
      <c r="M227" s="10">
        <v>1.54319393513681</v>
      </c>
      <c r="N227" s="13"/>
      <c r="O227" s="10">
        <v>0.59809266565612595</v>
      </c>
      <c r="P227" s="10">
        <v>22.196746053578199</v>
      </c>
      <c r="Q227" s="10">
        <v>1.4767948705909699</v>
      </c>
      <c r="R227" s="13"/>
      <c r="S227" s="8">
        <v>1.5707963267949001</v>
      </c>
      <c r="T227" s="13"/>
      <c r="U227" s="13">
        <f t="shared" si="26"/>
        <v>0</v>
      </c>
      <c r="V227" s="13">
        <f t="shared" si="36"/>
        <v>-1.5815005464756724</v>
      </c>
      <c r="W227" s="13">
        <f t="shared" si="34"/>
        <v>-1.5815005464756724</v>
      </c>
      <c r="X227" s="13">
        <f t="shared" si="35"/>
        <v>-5.3858867085690489</v>
      </c>
      <c r="Y227" s="13"/>
      <c r="Z227" s="13"/>
      <c r="AB227" t="str">
        <f t="shared" si="29"/>
        <v>-0.651572327043996,13.1958635703918</v>
      </c>
      <c r="AC227" t="str">
        <f t="shared" si="30"/>
        <v>2.6716381229964,15.2729226478227</v>
      </c>
      <c r="AD227" t="str">
        <f t="shared" si="31"/>
        <v>2.69270084134408,17.8819460474086</v>
      </c>
      <c r="AE227" t="str">
        <f t="shared" si="32"/>
        <v>0.598092665656126,22.1967460535782</v>
      </c>
    </row>
    <row r="228" spans="2:31" x14ac:dyDescent="0.2">
      <c r="B228" s="3">
        <v>226</v>
      </c>
      <c r="C228" s="6">
        <v>-0.65157232704399604</v>
      </c>
      <c r="D228" s="6">
        <v>12.408363570391799</v>
      </c>
      <c r="E228" s="8">
        <v>1.5707963267949001</v>
      </c>
      <c r="F228" s="7"/>
      <c r="G228" s="10">
        <v>2.6499039996535299</v>
      </c>
      <c r="H228" s="10">
        <v>14.485722623761101</v>
      </c>
      <c r="I228" s="10">
        <v>1.54319393513681</v>
      </c>
      <c r="K228" s="10">
        <v>2.6709667180012202</v>
      </c>
      <c r="L228" s="10">
        <v>17.094746023347099</v>
      </c>
      <c r="M228" s="10">
        <v>1.63265739938502</v>
      </c>
      <c r="N228" s="13"/>
      <c r="O228" s="10">
        <v>0.52417548995595198</v>
      </c>
      <c r="P228" s="10">
        <v>21.412722775137699</v>
      </c>
      <c r="Q228" s="10">
        <v>1.5597335515978299</v>
      </c>
      <c r="R228" s="13"/>
      <c r="S228" s="8">
        <v>1.5707963267949001</v>
      </c>
      <c r="T228" s="13"/>
      <c r="U228" s="13">
        <f t="shared" si="26"/>
        <v>0</v>
      </c>
      <c r="V228" s="13">
        <f t="shared" si="36"/>
        <v>-1.5815005464756724</v>
      </c>
      <c r="W228" s="13">
        <f t="shared" si="34"/>
        <v>3.5443783755662883</v>
      </c>
      <c r="X228" s="13">
        <f t="shared" si="35"/>
        <v>-0.63385032849413103</v>
      </c>
      <c r="Y228" s="13"/>
      <c r="Z228" s="13"/>
      <c r="AB228" t="str">
        <f t="shared" si="29"/>
        <v>-0.651572327043996,12.4083635703918</v>
      </c>
      <c r="AC228" t="str">
        <f t="shared" si="30"/>
        <v>2.64990399965353,14.4857226237611</v>
      </c>
      <c r="AD228" t="str">
        <f t="shared" si="31"/>
        <v>2.67096671800122,17.0947460233471</v>
      </c>
      <c r="AE228" t="str">
        <f t="shared" si="32"/>
        <v>0.524175489955952,21.4127227751377</v>
      </c>
    </row>
    <row r="229" spans="2:31" x14ac:dyDescent="0.2">
      <c r="B229" s="3">
        <v>227</v>
      </c>
      <c r="C229" s="6">
        <v>-0.65157232704399604</v>
      </c>
      <c r="D229" s="6">
        <v>11.6208635703918</v>
      </c>
      <c r="E229" s="8">
        <v>1.5707963267949001</v>
      </c>
      <c r="F229" s="7"/>
      <c r="G229" s="10">
        <v>2.62816987631067</v>
      </c>
      <c r="H229" s="10">
        <v>13.698522599699499</v>
      </c>
      <c r="I229" s="10">
        <v>1.63265739938502</v>
      </c>
      <c r="K229" s="10">
        <v>2.7196512478666901</v>
      </c>
      <c r="L229" s="10">
        <v>16.308752342359899</v>
      </c>
      <c r="M229" s="10">
        <v>1.5834061214822901</v>
      </c>
      <c r="N229" s="13"/>
      <c r="O229" s="10">
        <v>0.51546373218887198</v>
      </c>
      <c r="P229" s="10">
        <v>20.6252709637381</v>
      </c>
      <c r="Q229" s="10">
        <v>1.50686241193137</v>
      </c>
      <c r="R229" s="13"/>
      <c r="S229" s="8">
        <v>1.5707963267949001</v>
      </c>
      <c r="T229" s="13"/>
      <c r="U229" s="13">
        <f t="shared" si="26"/>
        <v>0</v>
      </c>
      <c r="V229" s="13">
        <f t="shared" si="36"/>
        <v>3.5443783755662883</v>
      </c>
      <c r="W229" s="13">
        <f t="shared" si="34"/>
        <v>0.72248801611393343</v>
      </c>
      <c r="X229" s="13">
        <f t="shared" si="35"/>
        <v>-3.6631434894289954</v>
      </c>
      <c r="Y229" s="13"/>
      <c r="Z229" s="13"/>
      <c r="AB229" t="str">
        <f t="shared" si="29"/>
        <v>-0.651572327043996,11.6208635703918</v>
      </c>
      <c r="AC229" t="str">
        <f t="shared" si="30"/>
        <v>2.62816987631067,13.6985225996995</v>
      </c>
      <c r="AD229" t="str">
        <f t="shared" si="31"/>
        <v>2.71965124786669,16.3087523423599</v>
      </c>
      <c r="AE229" t="str">
        <f t="shared" si="32"/>
        <v>0.515463732188872,20.6252709637381</v>
      </c>
    </row>
    <row r="230" spans="2:31" x14ac:dyDescent="0.2">
      <c r="B230" s="3">
        <v>228</v>
      </c>
      <c r="C230" s="6">
        <v>-0.65157232704399604</v>
      </c>
      <c r="D230" s="6">
        <v>10.8333635703918</v>
      </c>
      <c r="E230" s="8">
        <v>1.5707963267949001</v>
      </c>
      <c r="F230" s="7"/>
      <c r="G230" s="10">
        <v>2.6768544061761399</v>
      </c>
      <c r="H230" s="10">
        <v>12.9125289187124</v>
      </c>
      <c r="I230" s="10">
        <v>1.5834061214822901</v>
      </c>
      <c r="K230" s="10">
        <v>2.7295811980229998</v>
      </c>
      <c r="L230" s="10">
        <v>15.5213149505059</v>
      </c>
      <c r="M230" s="10">
        <v>1.50345068722963</v>
      </c>
      <c r="N230" s="13"/>
      <c r="O230" s="10">
        <v>0.465150067152308</v>
      </c>
      <c r="P230" s="10">
        <v>19.839379886609301</v>
      </c>
      <c r="Q230" s="10">
        <v>1.42166004652745</v>
      </c>
      <c r="R230" s="13"/>
      <c r="S230" s="8">
        <v>1.5707963267949001</v>
      </c>
      <c r="T230" s="13"/>
      <c r="U230" s="13">
        <f t="shared" si="26"/>
        <v>0</v>
      </c>
      <c r="V230" s="13">
        <f t="shared" si="36"/>
        <v>0.72248801611393343</v>
      </c>
      <c r="W230" s="13">
        <f t="shared" si="34"/>
        <v>-3.8586209156992268</v>
      </c>
      <c r="X230" s="13">
        <f t="shared" si="35"/>
        <v>-8.5448794316050698</v>
      </c>
      <c r="Y230" s="13"/>
      <c r="Z230" s="13"/>
      <c r="AB230" t="str">
        <f t="shared" si="29"/>
        <v>-0.651572327043996,10.8333635703918</v>
      </c>
      <c r="AC230" t="str">
        <f t="shared" si="30"/>
        <v>2.67685440617614,12.9125289187124</v>
      </c>
      <c r="AD230" t="str">
        <f t="shared" si="31"/>
        <v>2.729581198023,15.5213149505059</v>
      </c>
      <c r="AE230" t="str">
        <f t="shared" si="32"/>
        <v>0.465150067152308,19.8393798866093</v>
      </c>
    </row>
    <row r="231" spans="2:31" x14ac:dyDescent="0.2">
      <c r="B231" s="3">
        <v>229</v>
      </c>
      <c r="C231" s="6">
        <v>-0.65157232704399604</v>
      </c>
      <c r="D231" s="6">
        <v>10.0458635703918</v>
      </c>
      <c r="E231" s="8">
        <v>1.5707963267949001</v>
      </c>
      <c r="F231" s="7"/>
      <c r="G231" s="10">
        <v>2.6867843563324398</v>
      </c>
      <c r="H231" s="10">
        <v>12.1250915268583</v>
      </c>
      <c r="I231" s="10">
        <v>1.50345068722963</v>
      </c>
      <c r="K231" s="10">
        <v>2.6765865870091301</v>
      </c>
      <c r="L231" s="10">
        <v>14.7356001032467</v>
      </c>
      <c r="M231" s="10">
        <v>1.5907793601413101</v>
      </c>
      <c r="N231" s="13"/>
      <c r="O231" s="10">
        <v>0.348140123251161</v>
      </c>
      <c r="P231" s="10">
        <v>19.060621308468299</v>
      </c>
      <c r="Q231" s="10">
        <v>1.5084217017468899</v>
      </c>
      <c r="R231" s="13"/>
      <c r="S231" s="8">
        <v>1.5707963267949001</v>
      </c>
      <c r="T231" s="13"/>
      <c r="U231" s="13">
        <f t="shared" si="26"/>
        <v>0</v>
      </c>
      <c r="V231" s="13">
        <f t="shared" si="36"/>
        <v>-3.8586209156992268</v>
      </c>
      <c r="W231" s="13">
        <f t="shared" si="34"/>
        <v>1.1449434726184755</v>
      </c>
      <c r="X231" s="13">
        <f t="shared" si="35"/>
        <v>-3.5738027639619721</v>
      </c>
      <c r="Y231" s="13"/>
      <c r="Z231" s="13"/>
      <c r="AB231" t="str">
        <f t="shared" si="29"/>
        <v>-0.651572327043996,10.0458635703918</v>
      </c>
      <c r="AC231" t="str">
        <f t="shared" si="30"/>
        <v>2.68678435633244,12.1250915268583</v>
      </c>
      <c r="AD231" t="str">
        <f t="shared" si="31"/>
        <v>2.67658658700913,14.7356001032467</v>
      </c>
      <c r="AE231" t="str">
        <f t="shared" si="32"/>
        <v>0.348140123251161,19.0606213084683</v>
      </c>
    </row>
    <row r="232" spans="2:31" x14ac:dyDescent="0.2">
      <c r="B232" s="3">
        <v>230</v>
      </c>
      <c r="C232" s="6">
        <v>-0.65157232704399604</v>
      </c>
      <c r="D232" s="6">
        <v>9.2583635703918006</v>
      </c>
      <c r="E232" s="8">
        <v>1.5707963267949001</v>
      </c>
      <c r="F232" s="7"/>
      <c r="G232" s="10">
        <v>2.6337897453185701</v>
      </c>
      <c r="H232" s="10">
        <v>11.3393766795992</v>
      </c>
      <c r="I232" s="10">
        <v>1.5907793601413101</v>
      </c>
      <c r="K232" s="10">
        <v>2.6923221784603202</v>
      </c>
      <c r="L232" s="10">
        <v>13.9482573309031</v>
      </c>
      <c r="M232" s="10">
        <v>1.5614160976188201</v>
      </c>
      <c r="N232" s="13"/>
      <c r="O232" s="10">
        <v>0.29905195083662001</v>
      </c>
      <c r="P232" s="10">
        <v>18.274652733187398</v>
      </c>
      <c r="Q232" s="10">
        <v>1.49665991579036</v>
      </c>
      <c r="R232" s="13"/>
      <c r="S232" s="8">
        <v>1.5707963267949001</v>
      </c>
      <c r="T232" s="13"/>
      <c r="U232" s="13">
        <f t="shared" si="26"/>
        <v>0</v>
      </c>
      <c r="V232" s="13">
        <f t="shared" si="36"/>
        <v>1.1449434726184755</v>
      </c>
      <c r="W232" s="13">
        <f t="shared" si="34"/>
        <v>-0.53744754265486483</v>
      </c>
      <c r="X232" s="13">
        <f t="shared" si="35"/>
        <v>-4.2477034588073828</v>
      </c>
      <c r="Y232" s="13"/>
      <c r="Z232" s="13"/>
      <c r="AB232" t="str">
        <f t="shared" si="29"/>
        <v>-0.651572327043996,9.2583635703918</v>
      </c>
      <c r="AC232" t="str">
        <f t="shared" si="30"/>
        <v>2.63378974531857,11.3393766795992</v>
      </c>
      <c r="AD232" t="str">
        <f t="shared" si="31"/>
        <v>2.69232217846032,13.9482573309031</v>
      </c>
      <c r="AE232" t="str">
        <f t="shared" si="32"/>
        <v>0.29905195083662,18.2746527331874</v>
      </c>
    </row>
    <row r="233" spans="2:31" x14ac:dyDescent="0.2">
      <c r="B233" s="3">
        <v>231</v>
      </c>
      <c r="C233" s="6">
        <v>-0.65157232704399604</v>
      </c>
      <c r="D233" s="6">
        <v>8.4708635703917992</v>
      </c>
      <c r="E233" s="8">
        <v>1.5707963267949001</v>
      </c>
      <c r="F233" s="7"/>
      <c r="G233" s="10">
        <v>2.64952533676977</v>
      </c>
      <c r="H233" s="10">
        <v>10.5520339072556</v>
      </c>
      <c r="I233" s="10">
        <v>1.67557922717453</v>
      </c>
      <c r="K233" s="10">
        <v>2.6849353563114202</v>
      </c>
      <c r="L233" s="10">
        <v>13.1607919761995</v>
      </c>
      <c r="M233" s="10">
        <v>1.67557922717453</v>
      </c>
      <c r="N233" s="13"/>
      <c r="O233" s="10">
        <v>0.24072299279404699</v>
      </c>
      <c r="P233" s="10">
        <v>17.489315873837501</v>
      </c>
      <c r="Q233" s="10">
        <v>1.61121093645531</v>
      </c>
      <c r="R233" s="13"/>
      <c r="S233" s="8">
        <v>1.5707963267949001</v>
      </c>
      <c r="T233" s="13"/>
      <c r="U233" s="13">
        <f t="shared" si="26"/>
        <v>0</v>
      </c>
      <c r="V233" s="13">
        <f t="shared" si="36"/>
        <v>6.0036179568925441</v>
      </c>
      <c r="W233" s="13">
        <f t="shared" si="34"/>
        <v>6.0036179568925441</v>
      </c>
      <c r="X233" s="13">
        <f t="shared" si="35"/>
        <v>2.3155865642101316</v>
      </c>
      <c r="Y233" s="13"/>
      <c r="Z233" s="13"/>
      <c r="AB233" t="str">
        <f t="shared" si="29"/>
        <v>-0.651572327043996,8.4708635703918</v>
      </c>
      <c r="AC233" t="str">
        <f t="shared" si="30"/>
        <v>2.64952533676977,10.5520339072556</v>
      </c>
      <c r="AD233" t="str">
        <f t="shared" si="31"/>
        <v>2.68493535631142,13.1607919761995</v>
      </c>
      <c r="AE233" t="str">
        <f t="shared" si="32"/>
        <v>0.240722992794047,17.4893158738375</v>
      </c>
    </row>
    <row r="234" spans="2:31" x14ac:dyDescent="0.2">
      <c r="B234" s="3">
        <v>232</v>
      </c>
      <c r="C234" s="6">
        <v>-0.65157232704399604</v>
      </c>
      <c r="D234" s="6">
        <v>7.6833635703918004</v>
      </c>
      <c r="E234" s="8">
        <v>1.5707963267949001</v>
      </c>
      <c r="F234" s="7"/>
      <c r="G234" s="10">
        <v>2.7318909559120099</v>
      </c>
      <c r="H234" s="10">
        <v>9.7688531140900992</v>
      </c>
      <c r="I234" s="10">
        <v>1.5676616911899099</v>
      </c>
      <c r="K234" s="10">
        <v>2.7673009754536602</v>
      </c>
      <c r="L234" s="10">
        <v>12.377611183034</v>
      </c>
      <c r="M234" s="10">
        <v>1.5676616911899099</v>
      </c>
      <c r="N234" s="13"/>
      <c r="O234" s="10">
        <v>0.27254083468826501</v>
      </c>
      <c r="P234" s="10">
        <v>16.7024589141954</v>
      </c>
      <c r="Q234" s="10">
        <v>1.5033156023060401</v>
      </c>
      <c r="R234" s="13"/>
      <c r="S234" s="8">
        <v>1.5707963267949001</v>
      </c>
      <c r="T234" s="13"/>
      <c r="U234" s="13">
        <f t="shared" si="26"/>
        <v>0</v>
      </c>
      <c r="V234" s="13">
        <f t="shared" si="36"/>
        <v>-0.17960139047737395</v>
      </c>
      <c r="W234" s="13">
        <f t="shared" si="34"/>
        <v>-0.17960139047737395</v>
      </c>
      <c r="X234" s="13">
        <f t="shared" si="35"/>
        <v>-3.8663607116967773</v>
      </c>
      <c r="Y234" s="13"/>
      <c r="Z234" s="13"/>
      <c r="AB234" t="str">
        <f t="shared" si="29"/>
        <v>-0.651572327043996,7.6833635703918</v>
      </c>
      <c r="AC234" t="str">
        <f t="shared" si="30"/>
        <v>2.73189095591201,9.7688531140901</v>
      </c>
      <c r="AD234" t="str">
        <f t="shared" si="31"/>
        <v>2.76730097545366,12.377611183034</v>
      </c>
      <c r="AE234" t="str">
        <f t="shared" si="32"/>
        <v>0.272540834688265,16.7024589141954</v>
      </c>
    </row>
    <row r="235" spans="2:31" x14ac:dyDescent="0.2">
      <c r="B235" s="3">
        <v>233</v>
      </c>
      <c r="C235" s="6">
        <v>-0.65157232704399604</v>
      </c>
      <c r="D235" s="6">
        <v>6.8958635703917999</v>
      </c>
      <c r="E235" s="8">
        <v>1.5707963267949001</v>
      </c>
      <c r="F235" s="7"/>
      <c r="G235" s="10">
        <v>2.7294224344156799</v>
      </c>
      <c r="H235" s="10">
        <v>8.9813569830509508</v>
      </c>
      <c r="I235" s="10">
        <v>1.5676616911899099</v>
      </c>
      <c r="K235" s="10">
        <v>2.7648324539573301</v>
      </c>
      <c r="L235" s="10">
        <v>11.5901150519948</v>
      </c>
      <c r="M235" s="10">
        <v>1.64544460825725</v>
      </c>
      <c r="N235" s="13"/>
      <c r="O235" s="10">
        <v>0.21944008592813899</v>
      </c>
      <c r="P235" s="10">
        <v>15.916751232877999</v>
      </c>
      <c r="Q235" s="10">
        <v>1.5679600718390401</v>
      </c>
      <c r="R235" s="13"/>
      <c r="S235" s="8">
        <v>1.5707963267949001</v>
      </c>
      <c r="T235" s="13"/>
      <c r="U235" s="13">
        <f t="shared" si="26"/>
        <v>0</v>
      </c>
      <c r="V235" s="13">
        <f t="shared" si="36"/>
        <v>-0.17960139047737395</v>
      </c>
      <c r="W235" s="13">
        <f t="shared" si="34"/>
        <v>4.2770314756973118</v>
      </c>
      <c r="X235" s="13">
        <f t="shared" si="35"/>
        <v>-0.16250543859384389</v>
      </c>
      <c r="Y235" s="13"/>
      <c r="Z235" s="13"/>
      <c r="AB235" t="str">
        <f t="shared" si="29"/>
        <v>-0.651572327043996,6.8958635703918</v>
      </c>
      <c r="AC235" t="str">
        <f t="shared" si="30"/>
        <v>2.72942243441568,8.98135698305095</v>
      </c>
      <c r="AD235" t="str">
        <f t="shared" si="31"/>
        <v>2.76483245395733,11.5901150519948</v>
      </c>
      <c r="AE235" t="str">
        <f t="shared" si="32"/>
        <v>0.219440085928139,15.916751232878</v>
      </c>
    </row>
    <row r="236" spans="2:31" x14ac:dyDescent="0.2">
      <c r="B236" s="3">
        <v>234</v>
      </c>
      <c r="C236" s="6">
        <v>-0.65157232704399604</v>
      </c>
      <c r="D236" s="6">
        <v>6.1083635703918002</v>
      </c>
      <c r="E236" s="8">
        <v>1.5707963267949001</v>
      </c>
      <c r="F236" s="7"/>
      <c r="G236" s="10">
        <v>2.7269539129193499</v>
      </c>
      <c r="H236" s="10">
        <v>8.1938608520118095</v>
      </c>
      <c r="I236" s="10">
        <v>1.64544460825725</v>
      </c>
      <c r="K236" s="10">
        <v>2.8235633950786698</v>
      </c>
      <c r="L236" s="10">
        <v>10.8048081523976</v>
      </c>
      <c r="M236" s="10">
        <v>1.55507672044284</v>
      </c>
      <c r="N236" s="13"/>
      <c r="O236" s="10">
        <v>0.21720653814497401</v>
      </c>
      <c r="P236" s="10">
        <v>15.129254400335601</v>
      </c>
      <c r="Q236" s="10">
        <v>1.4882274563248801</v>
      </c>
      <c r="R236" s="13"/>
      <c r="S236" s="8">
        <v>1.5707963267949001</v>
      </c>
      <c r="T236" s="13"/>
      <c r="U236" s="13">
        <f t="shared" si="26"/>
        <v>0</v>
      </c>
      <c r="V236" s="13">
        <f t="shared" si="36"/>
        <v>4.2770314756973118</v>
      </c>
      <c r="W236" s="13">
        <f t="shared" si="34"/>
        <v>-0.90066709958008706</v>
      </c>
      <c r="X236" s="13">
        <f t="shared" si="35"/>
        <v>-4.7308477970945217</v>
      </c>
      <c r="Y236" s="13"/>
      <c r="Z236" s="13"/>
      <c r="AB236" t="str">
        <f t="shared" si="29"/>
        <v>-0.651572327043996,6.1083635703918</v>
      </c>
      <c r="AC236" t="str">
        <f t="shared" si="30"/>
        <v>2.72695391291935,8.19386085201181</v>
      </c>
      <c r="AD236" t="str">
        <f t="shared" si="31"/>
        <v>2.82356339507867,10.8048081523976</v>
      </c>
      <c r="AE236" t="str">
        <f t="shared" si="32"/>
        <v>0.217206538144974,15.1292544003356</v>
      </c>
    </row>
    <row r="237" spans="2:31" x14ac:dyDescent="0.2">
      <c r="B237" s="3">
        <v>235</v>
      </c>
      <c r="C237" s="6">
        <v>-0.65157232704399604</v>
      </c>
      <c r="D237" s="6">
        <v>5.3208635703917997</v>
      </c>
      <c r="E237" s="8">
        <v>1.5707963267949001</v>
      </c>
      <c r="F237" s="7"/>
      <c r="G237" s="10">
        <v>2.78568485404069</v>
      </c>
      <c r="H237" s="10">
        <v>7.4085539524145902</v>
      </c>
      <c r="I237" s="10">
        <v>1.55507672044284</v>
      </c>
      <c r="K237" s="10">
        <v>2.81118471489886</v>
      </c>
      <c r="L237" s="10">
        <v>10.017405448390999</v>
      </c>
      <c r="M237" s="10">
        <v>1.52321949956622</v>
      </c>
      <c r="N237" s="13"/>
      <c r="O237" s="10">
        <v>0.152257411118465</v>
      </c>
      <c r="P237" s="10">
        <v>14.3444373127933</v>
      </c>
      <c r="Q237" s="10">
        <v>1.4523417825146201</v>
      </c>
      <c r="R237" s="13"/>
      <c r="S237" s="8">
        <v>1.5707963267949001</v>
      </c>
      <c r="T237" s="13"/>
      <c r="U237" s="13">
        <f t="shared" si="26"/>
        <v>0</v>
      </c>
      <c r="V237" s="13">
        <f t="shared" si="36"/>
        <v>-0.90066709958008706</v>
      </c>
      <c r="W237" s="13">
        <f t="shared" si="34"/>
        <v>-2.7259514028264644</v>
      </c>
      <c r="X237" s="13">
        <f t="shared" si="35"/>
        <v>-6.7869454514055709</v>
      </c>
      <c r="Y237" s="13"/>
      <c r="Z237" s="13"/>
      <c r="AB237" t="str">
        <f t="shared" si="29"/>
        <v>-0.651572327043996,5.3208635703918</v>
      </c>
      <c r="AC237" t="str">
        <f t="shared" si="30"/>
        <v>2.78568485404069,7.40855395241459</v>
      </c>
      <c r="AD237" t="str">
        <f t="shared" si="31"/>
        <v>2.81118471489886,10.017405448391</v>
      </c>
      <c r="AE237" t="str">
        <f t="shared" si="32"/>
        <v>0.152257411118465,14.3444373127933</v>
      </c>
    </row>
    <row r="238" spans="2:31" x14ac:dyDescent="0.2">
      <c r="B238" s="3">
        <v>236</v>
      </c>
      <c r="C238" s="6">
        <v>-0.65157232704399604</v>
      </c>
      <c r="D238" s="6">
        <v>4.5333635703918</v>
      </c>
      <c r="E238" s="8">
        <v>1.5707963267949001</v>
      </c>
      <c r="F238" s="7"/>
      <c r="G238" s="10">
        <v>2.7733061738608802</v>
      </c>
      <c r="H238" s="10">
        <v>6.6211512484079202</v>
      </c>
      <c r="I238" s="10">
        <v>1.52321949956622</v>
      </c>
      <c r="K238" s="10">
        <v>2.7737320965288701</v>
      </c>
      <c r="L238" s="10">
        <v>9.23079655486303</v>
      </c>
      <c r="M238" s="10">
        <v>1.57390801400134</v>
      </c>
      <c r="N238" s="13"/>
      <c r="O238" s="10">
        <v>5.9192454135840303E-2</v>
      </c>
      <c r="P238" s="10">
        <v>13.562455750490299</v>
      </c>
      <c r="Q238" s="10">
        <v>1.49235951294806</v>
      </c>
      <c r="R238" s="13"/>
      <c r="S238" s="8">
        <v>1.5707963267949001</v>
      </c>
      <c r="T238" s="13"/>
      <c r="U238" s="13">
        <f t="shared" si="26"/>
        <v>0</v>
      </c>
      <c r="V238" s="13">
        <f t="shared" si="36"/>
        <v>-2.7259514028264644</v>
      </c>
      <c r="W238" s="13">
        <f t="shared" si="34"/>
        <v>0.17828654409385611</v>
      </c>
      <c r="X238" s="13">
        <f t="shared" si="35"/>
        <v>-4.4940983918772321</v>
      </c>
      <c r="Y238" s="13"/>
      <c r="Z238" s="13"/>
      <c r="AB238" t="str">
        <f t="shared" si="29"/>
        <v>-0.651572327043996,4.5333635703918</v>
      </c>
      <c r="AC238" t="str">
        <f t="shared" si="30"/>
        <v>2.77330617386088,6.62115124840792</v>
      </c>
      <c r="AD238" t="str">
        <f t="shared" si="31"/>
        <v>2.77373209652887,9.23079655486303</v>
      </c>
      <c r="AE238" t="str">
        <f t="shared" si="32"/>
        <v>0.0591924541358403,13.5624557504903</v>
      </c>
    </row>
    <row r="239" spans="2:31" x14ac:dyDescent="0.2">
      <c r="B239" s="3">
        <v>237</v>
      </c>
      <c r="C239" s="6">
        <v>-0.65157232704399604</v>
      </c>
      <c r="D239" s="6">
        <v>3.7458635703918</v>
      </c>
      <c r="E239" s="6">
        <v>1.5707963267949001</v>
      </c>
      <c r="G239">
        <v>2.7358535554908898</v>
      </c>
      <c r="H239" s="11">
        <v>5.8345423548799999</v>
      </c>
      <c r="I239" s="11">
        <v>1.57390801400134</v>
      </c>
      <c r="K239">
        <v>2.77618254624949</v>
      </c>
      <c r="L239">
        <v>8.4433003673826299</v>
      </c>
      <c r="M239">
        <v>1.49629584356971</v>
      </c>
      <c r="O239">
        <v>-2.51321900787218E-3</v>
      </c>
      <c r="P239">
        <v>12.7773769901726</v>
      </c>
      <c r="Q239">
        <v>1.42777948364663</v>
      </c>
      <c r="S239" s="6">
        <v>1.5707963267949001</v>
      </c>
      <c r="U239" s="13">
        <f t="shared" si="26"/>
        <v>0</v>
      </c>
      <c r="V239" s="13">
        <f t="shared" si="36"/>
        <v>0.17828654409385611</v>
      </c>
      <c r="W239" s="13">
        <f t="shared" si="34"/>
        <v>-4.2685632604885795</v>
      </c>
      <c r="X239" s="13">
        <f t="shared" si="35"/>
        <v>-8.1942615116803648</v>
      </c>
      <c r="AB239" t="str">
        <f t="shared" si="29"/>
        <v>-0.651572327043996,3.7458635703918</v>
      </c>
      <c r="AC239" t="str">
        <f t="shared" si="30"/>
        <v>2.73585355549089,5.83454235488</v>
      </c>
      <c r="AD239" t="str">
        <f t="shared" si="31"/>
        <v>2.77618254624949,8.44330036738263</v>
      </c>
      <c r="AE239" t="str">
        <f t="shared" si="32"/>
        <v>-0.00251321900787218,12.7773769901726</v>
      </c>
    </row>
    <row r="240" spans="2:31" x14ac:dyDescent="0.2">
      <c r="B240" s="3">
        <v>238</v>
      </c>
      <c r="C240" s="6">
        <v>-0.65157232704399604</v>
      </c>
      <c r="D240" s="6">
        <v>2.9583635703917999</v>
      </c>
      <c r="E240" s="6">
        <v>1.5707963267949001</v>
      </c>
      <c r="G240">
        <v>2.7383040052115102</v>
      </c>
      <c r="H240" s="11">
        <v>5.0470461673995901</v>
      </c>
      <c r="I240" s="11">
        <v>1.49629584356971</v>
      </c>
      <c r="K240">
        <v>2.7175676727445999</v>
      </c>
      <c r="L240">
        <v>7.6579847960331202</v>
      </c>
      <c r="M240">
        <v>1.4864857183817599</v>
      </c>
      <c r="O240">
        <v>-0.11475543764337599</v>
      </c>
      <c r="P240">
        <v>11.9979169627461</v>
      </c>
      <c r="Q240">
        <v>1.4045036188301601</v>
      </c>
      <c r="S240" s="6">
        <v>1.5707963267949001</v>
      </c>
      <c r="U240" s="13">
        <f t="shared" si="26"/>
        <v>0</v>
      </c>
      <c r="V240" s="13">
        <f t="shared" si="36"/>
        <v>-4.2685632604885795</v>
      </c>
      <c r="W240" s="13">
        <f t="shared" si="34"/>
        <v>-4.8306420302531041</v>
      </c>
      <c r="X240" s="13">
        <f t="shared" si="35"/>
        <v>-9.5278703301811341</v>
      </c>
      <c r="AB240" t="str">
        <f t="shared" si="29"/>
        <v>-0.651572327043996,2.9583635703918</v>
      </c>
      <c r="AC240" t="str">
        <f t="shared" si="30"/>
        <v>2.73830400521151,5.04704616739959</v>
      </c>
      <c r="AD240" t="str">
        <f t="shared" si="31"/>
        <v>2.7175676727446,7.65798479603312</v>
      </c>
      <c r="AE240" t="str">
        <f t="shared" si="32"/>
        <v>-0.114755437643376,11.9979169627461</v>
      </c>
    </row>
    <row r="241" spans="2:31" x14ac:dyDescent="0.2">
      <c r="B241" s="3">
        <v>239</v>
      </c>
      <c r="C241" s="6">
        <v>-0.65157232704399604</v>
      </c>
      <c r="D241" s="6">
        <v>2.1708635703917998</v>
      </c>
      <c r="E241" s="6">
        <v>1.5707963267949001</v>
      </c>
      <c r="G241">
        <v>2.67968913170662</v>
      </c>
      <c r="H241" s="11">
        <v>4.2617305960500902</v>
      </c>
      <c r="I241" s="11">
        <v>1.6712511429761201</v>
      </c>
      <c r="K241">
        <v>2.6512516992259201</v>
      </c>
      <c r="L241">
        <v>6.8732820232227603</v>
      </c>
      <c r="M241">
        <v>1.6712511429761201</v>
      </c>
      <c r="O241">
        <v>-0.24510822124760601</v>
      </c>
      <c r="P241">
        <v>11.2212803670293</v>
      </c>
      <c r="Q241">
        <v>1.6032095705688401</v>
      </c>
      <c r="S241" s="6">
        <v>1.5707963267949001</v>
      </c>
      <c r="U241" s="13">
        <f t="shared" si="26"/>
        <v>0</v>
      </c>
      <c r="V241" s="13">
        <f t="shared" si="36"/>
        <v>5.755636998946394</v>
      </c>
      <c r="W241" s="13">
        <f t="shared" si="34"/>
        <v>5.755636998946394</v>
      </c>
      <c r="X241" s="13">
        <f t="shared" si="35"/>
        <v>1.8571420685754516</v>
      </c>
      <c r="AB241" t="str">
        <f t="shared" si="29"/>
        <v>-0.651572327043996,2.1708635703918</v>
      </c>
      <c r="AC241" t="str">
        <f t="shared" si="30"/>
        <v>2.67968913170662,4.26173059605009</v>
      </c>
      <c r="AD241" t="str">
        <f t="shared" si="31"/>
        <v>2.65125169922592,6.87328202322276</v>
      </c>
      <c r="AE241" t="str">
        <f t="shared" si="32"/>
        <v>-0.245108221247606,11.2212803670293</v>
      </c>
    </row>
    <row r="242" spans="2:31" x14ac:dyDescent="0.2">
      <c r="B242" s="3">
        <v>240</v>
      </c>
      <c r="C242" s="6">
        <v>-0.65157232704399604</v>
      </c>
      <c r="D242" s="6">
        <v>1.3833635703917999</v>
      </c>
      <c r="E242" s="6">
        <v>1.5707963267949001</v>
      </c>
      <c r="G242">
        <v>2.7586643175681198</v>
      </c>
      <c r="H242" s="11">
        <v>3.4782006540452199</v>
      </c>
      <c r="I242" s="11">
        <v>1.6712511429761201</v>
      </c>
      <c r="K242">
        <v>2.7302268850874198</v>
      </c>
      <c r="L242">
        <v>6.08975208121789</v>
      </c>
      <c r="M242">
        <v>1.5843446504902401</v>
      </c>
      <c r="O242">
        <v>-0.21958726112169799</v>
      </c>
      <c r="P242">
        <v>10.4341940117961</v>
      </c>
      <c r="Q242">
        <v>1.5166386108997501</v>
      </c>
      <c r="S242" s="6">
        <v>1.5707963267949001</v>
      </c>
      <c r="U242" s="13">
        <f t="shared" si="26"/>
        <v>0</v>
      </c>
      <c r="V242" s="13">
        <f t="shared" si="36"/>
        <v>5.755636998946394</v>
      </c>
      <c r="W242" s="13">
        <f t="shared" si="34"/>
        <v>0.77626176722006823</v>
      </c>
      <c r="X242" s="13">
        <f t="shared" si="35"/>
        <v>-3.103008548860672</v>
      </c>
      <c r="AB242" t="str">
        <f t="shared" si="29"/>
        <v>-0.651572327043996,1.3833635703918</v>
      </c>
      <c r="AC242" t="str">
        <f t="shared" si="30"/>
        <v>2.75866431756812,3.47820065404522</v>
      </c>
      <c r="AD242" t="str">
        <f t="shared" si="31"/>
        <v>2.73022688508742,6.08975208121789</v>
      </c>
      <c r="AE242" t="str">
        <f t="shared" si="32"/>
        <v>-0.219587261121698,10.4341940117961</v>
      </c>
    </row>
    <row r="243" spans="2:31" x14ac:dyDescent="0.2">
      <c r="B243" s="3">
        <v>241</v>
      </c>
      <c r="C243" s="6">
        <v>-0.65157232704399604</v>
      </c>
      <c r="D243" s="6">
        <v>0.59586357039180404</v>
      </c>
      <c r="E243" s="6">
        <v>1.5707963267949001</v>
      </c>
      <c r="G243">
        <v>2.8376395034296298</v>
      </c>
      <c r="H243" s="11">
        <v>2.6946707120403599</v>
      </c>
      <c r="I243" s="11">
        <v>1.5843446504902401</v>
      </c>
      <c r="K243">
        <v>2.7408958635961</v>
      </c>
      <c r="L243">
        <v>5.3023243557106099</v>
      </c>
      <c r="M243">
        <v>1.65608227441739</v>
      </c>
      <c r="O243">
        <v>-0.26221561668159299</v>
      </c>
      <c r="P243">
        <v>9.6478486212060002</v>
      </c>
      <c r="Q243">
        <v>1.58212803633812</v>
      </c>
      <c r="S243" s="6">
        <v>1.5707963267949001</v>
      </c>
      <c r="U243" s="13">
        <f t="shared" si="26"/>
        <v>0</v>
      </c>
      <c r="V243" s="13">
        <f t="shared" si="36"/>
        <v>0.77626176722006823</v>
      </c>
      <c r="W243" s="13">
        <f t="shared" si="34"/>
        <v>4.8865248505424663</v>
      </c>
      <c r="X243" s="13">
        <f t="shared" si="35"/>
        <v>0.64925913149462033</v>
      </c>
      <c r="AB243" t="str">
        <f t="shared" si="29"/>
        <v>-0.651572327043996,0.595863570391804</v>
      </c>
      <c r="AC243" t="str">
        <f t="shared" si="30"/>
        <v>2.83763950342963,2.69467071204036</v>
      </c>
      <c r="AD243" t="str">
        <f t="shared" si="31"/>
        <v>2.7408958635961,5.30232435571061</v>
      </c>
      <c r="AE243" t="str">
        <f t="shared" si="32"/>
        <v>-0.262215616681593,9.647848621206</v>
      </c>
    </row>
    <row r="244" spans="2:31" x14ac:dyDescent="0.2">
      <c r="B244" s="3">
        <v>242</v>
      </c>
      <c r="C244" s="6">
        <v>-0.65157232704399604</v>
      </c>
      <c r="D244" s="6">
        <v>-0.19163642960819599</v>
      </c>
      <c r="E244" s="6">
        <v>1.5707963267949001</v>
      </c>
      <c r="G244">
        <v>2.8483084819383002</v>
      </c>
      <c r="H244" s="11">
        <v>1.90724298653307</v>
      </c>
      <c r="I244" s="11">
        <v>1.65608227441739</v>
      </c>
      <c r="K244">
        <v>2.8079771568326999</v>
      </c>
      <c r="L244">
        <v>4.5176866366977499</v>
      </c>
      <c r="M244">
        <v>1.56236596292943</v>
      </c>
      <c r="O244">
        <v>-0.25329208639407702</v>
      </c>
      <c r="P244">
        <v>8.8603991811736904</v>
      </c>
      <c r="Q244">
        <v>1.5020473603108899</v>
      </c>
      <c r="S244" s="6">
        <v>1.5707963267949001</v>
      </c>
      <c r="U244" s="13">
        <f t="shared" si="26"/>
        <v>0</v>
      </c>
      <c r="V244" s="13">
        <f t="shared" si="36"/>
        <v>4.8865248505424663</v>
      </c>
      <c r="W244" s="13">
        <f t="shared" si="34"/>
        <v>-0.48302426925103331</v>
      </c>
      <c r="X244" s="13">
        <f t="shared" si="35"/>
        <v>-3.9390256254201343</v>
      </c>
      <c r="AB244" t="str">
        <f t="shared" si="29"/>
        <v>-0.651572327043996,-0.191636429608196</v>
      </c>
      <c r="AC244" t="str">
        <f t="shared" si="30"/>
        <v>2.8483084819383,1.90724298653307</v>
      </c>
      <c r="AD244" t="str">
        <f t="shared" si="31"/>
        <v>2.8079771568327,4.51768663669775</v>
      </c>
      <c r="AE244" t="str">
        <f t="shared" si="32"/>
        <v>-0.253292086394077,8.86039918117369</v>
      </c>
    </row>
    <row r="245" spans="2:31" x14ac:dyDescent="0.2">
      <c r="B245" s="3">
        <v>243</v>
      </c>
      <c r="C245" s="6">
        <v>-0.65157232704399604</v>
      </c>
      <c r="D245" s="6">
        <v>-0.97913642960819602</v>
      </c>
      <c r="E245" s="6">
        <v>3.14159265358979</v>
      </c>
      <c r="G245">
        <v>2.9153897751749001</v>
      </c>
      <c r="H245" s="11">
        <v>1.1226052675202101</v>
      </c>
      <c r="I245" s="11">
        <v>1.5707963267949001</v>
      </c>
      <c r="K245">
        <v>2.8013383239274101</v>
      </c>
      <c r="L245">
        <v>3.7302146207520002</v>
      </c>
      <c r="M245">
        <v>3.0428261175665501</v>
      </c>
      <c r="O245">
        <v>-0.307389259659817</v>
      </c>
      <c r="P245">
        <v>8.0747594763186807</v>
      </c>
      <c r="Q245">
        <v>2.9327485606395798</v>
      </c>
      <c r="S245" s="6">
        <v>3.14159265358979</v>
      </c>
      <c r="U245" s="13">
        <f t="shared" si="26"/>
        <v>0</v>
      </c>
      <c r="V245" s="13">
        <f t="shared" si="36"/>
        <v>-89.999999999999616</v>
      </c>
      <c r="W245" s="13">
        <f t="shared" si="34"/>
        <v>-5.6589056712584567</v>
      </c>
      <c r="X245" s="13">
        <f t="shared" si="35"/>
        <v>-11.965885102284915</v>
      </c>
      <c r="AB245" t="str">
        <f t="shared" si="29"/>
        <v>-0.651572327043996,-0.979136429608196</v>
      </c>
      <c r="AC245" t="str">
        <f t="shared" si="30"/>
        <v>2.9153897751749,1.12260526752021</v>
      </c>
      <c r="AD245" t="str">
        <f t="shared" si="31"/>
        <v>2.80133832392741,3.730214620752</v>
      </c>
      <c r="AE245" t="str">
        <f t="shared" si="32"/>
        <v>-0.307389259659817,8.07475947631868</v>
      </c>
    </row>
    <row r="246" spans="2:31" x14ac:dyDescent="0.2">
      <c r="B246" s="3">
        <v>244</v>
      </c>
      <c r="C246" s="6">
        <v>0.135927672956004</v>
      </c>
      <c r="D246" s="6">
        <v>-0.97913642960819602</v>
      </c>
      <c r="E246" s="6">
        <v>1.5707963267949001</v>
      </c>
      <c r="G246">
        <v>2.9153897751749001</v>
      </c>
      <c r="H246" s="11">
        <v>0.33510526752021302</v>
      </c>
      <c r="I246" s="11">
        <v>2.1298239705111102</v>
      </c>
      <c r="K246">
        <v>3.5850004814647298</v>
      </c>
      <c r="L246">
        <v>3.6525623648674301</v>
      </c>
      <c r="M246">
        <v>2.1298239705111102</v>
      </c>
      <c r="O246">
        <v>0.46299932731436599</v>
      </c>
      <c r="P246">
        <v>7.9114876935149097</v>
      </c>
      <c r="Q246">
        <v>1.9710156630461599</v>
      </c>
      <c r="S246" s="6">
        <v>1.5707963267949001</v>
      </c>
      <c r="U246" s="13">
        <f t="shared" si="26"/>
        <v>0</v>
      </c>
      <c r="V246" s="13">
        <f t="shared" si="36"/>
        <v>32.029924616081914</v>
      </c>
      <c r="W246" s="13">
        <f t="shared" si="34"/>
        <v>32.029924616081914</v>
      </c>
      <c r="X246" s="13">
        <f t="shared" si="35"/>
        <v>22.930878846724337</v>
      </c>
      <c r="AB246" t="str">
        <f t="shared" si="29"/>
        <v>0.135927672956004,-0.979136429608196</v>
      </c>
      <c r="AC246" t="str">
        <f t="shared" si="30"/>
        <v>2.9153897751749,0.335105267520213</v>
      </c>
      <c r="AD246" t="str">
        <f t="shared" si="31"/>
        <v>3.58500048146473,3.65256236486743</v>
      </c>
      <c r="AE246" t="str">
        <f t="shared" si="32"/>
        <v>0.462999327314366,7.91148769351491</v>
      </c>
    </row>
  </sheetData>
  <mergeCells count="2">
    <mergeCell ref="B1:E1"/>
    <mergeCell ref="G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5883-43CB-428C-B937-97EF2877AD29}">
  <dimension ref="B1:AC175"/>
  <sheetViews>
    <sheetView tabSelected="1" topLeftCell="D77" workbookViewId="0">
      <selection activeCell="Y166" sqref="Y166"/>
    </sheetView>
  </sheetViews>
  <sheetFormatPr defaultRowHeight="14.25" x14ac:dyDescent="0.2"/>
  <cols>
    <col min="3" max="4" width="9" style="7"/>
    <col min="5" max="5" width="11" style="7" bestFit="1" customWidth="1"/>
    <col min="8" max="9" width="9" style="11"/>
    <col min="23" max="23" width="9.375" bestFit="1" customWidth="1"/>
    <col min="26" max="26" width="36.375" customWidth="1"/>
    <col min="27" max="27" width="34.5" customWidth="1"/>
    <col min="28" max="29" width="33.75" customWidth="1"/>
  </cols>
  <sheetData>
    <row r="1" spans="2:29" x14ac:dyDescent="0.2">
      <c r="B1" s="15"/>
      <c r="C1" s="15"/>
      <c r="D1" s="15"/>
      <c r="E1" s="15"/>
      <c r="G1" s="16"/>
      <c r="H1" s="16"/>
      <c r="I1" s="16"/>
    </row>
    <row r="2" spans="2:29" x14ac:dyDescent="0.2">
      <c r="B2" s="2" t="s">
        <v>2</v>
      </c>
      <c r="C2" s="4" t="s">
        <v>0</v>
      </c>
      <c r="D2" s="4" t="s">
        <v>1</v>
      </c>
      <c r="E2" s="5" t="s">
        <v>3</v>
      </c>
      <c r="G2" s="9" t="s">
        <v>0</v>
      </c>
      <c r="H2" s="9" t="s">
        <v>0</v>
      </c>
      <c r="I2" s="1" t="s">
        <v>5</v>
      </c>
      <c r="K2" s="9" t="s">
        <v>0</v>
      </c>
      <c r="L2" s="9" t="s">
        <v>1</v>
      </c>
      <c r="M2" s="9" t="s">
        <v>4</v>
      </c>
      <c r="N2" s="14"/>
      <c r="O2" s="9" t="s">
        <v>0</v>
      </c>
      <c r="P2" s="9" t="s">
        <v>1</v>
      </c>
      <c r="Q2" s="9" t="s">
        <v>9</v>
      </c>
      <c r="R2" s="12"/>
      <c r="S2" s="12"/>
      <c r="T2" s="12"/>
      <c r="U2" s="12"/>
      <c r="V2" s="12"/>
      <c r="W2" s="12"/>
      <c r="X2" s="12"/>
      <c r="Z2" s="12" t="s">
        <v>6</v>
      </c>
      <c r="AA2" s="12" t="s">
        <v>7</v>
      </c>
      <c r="AB2" s="12" t="s">
        <v>8</v>
      </c>
      <c r="AC2" s="12" t="s">
        <v>10</v>
      </c>
    </row>
    <row r="3" spans="2:29" x14ac:dyDescent="0.2">
      <c r="B3" s="3">
        <v>1</v>
      </c>
      <c r="C3" s="6">
        <v>0</v>
      </c>
      <c r="D3" s="6">
        <v>0</v>
      </c>
      <c r="E3" s="8">
        <v>3.14159265358979</v>
      </c>
      <c r="F3" s="7"/>
      <c r="G3" s="10">
        <v>0</v>
      </c>
      <c r="H3" s="10">
        <v>0</v>
      </c>
      <c r="I3" s="10">
        <v>0.42602938279691099</v>
      </c>
      <c r="K3" s="10">
        <v>0</v>
      </c>
      <c r="L3" s="10">
        <v>0</v>
      </c>
      <c r="M3" s="10">
        <v>0.42602938279691099</v>
      </c>
      <c r="N3" s="13"/>
      <c r="O3" s="10">
        <v>0</v>
      </c>
      <c r="P3" s="10">
        <v>0</v>
      </c>
      <c r="Q3" s="10">
        <v>0.43442559011458998</v>
      </c>
      <c r="R3" s="13"/>
      <c r="S3" s="8">
        <v>3.14159265358979</v>
      </c>
      <c r="T3" s="13"/>
      <c r="U3" s="13">
        <f>(E3-S3)*180/PI()</f>
        <v>0</v>
      </c>
      <c r="V3" s="13">
        <f>(I3-S3)*180/PI()+180</f>
        <v>24.40968558282654</v>
      </c>
      <c r="W3" s="13">
        <f>(M3-S3)*180/PI()+180</f>
        <v>24.40968558282654</v>
      </c>
      <c r="X3" s="13">
        <f>(Q3-S3)*180/PI()+180</f>
        <v>24.890752826046395</v>
      </c>
      <c r="Z3" t="str">
        <f>C3&amp;","&amp;D3</f>
        <v>0,0</v>
      </c>
      <c r="AA3" t="str">
        <f>G3&amp;","&amp;H3</f>
        <v>0,0</v>
      </c>
      <c r="AB3" t="str">
        <f>K3&amp;","&amp;L3</f>
        <v>0,0</v>
      </c>
      <c r="AC3" t="str">
        <f>O3&amp;","&amp;P3</f>
        <v>0,0</v>
      </c>
    </row>
    <row r="4" spans="2:29" x14ac:dyDescent="0.2">
      <c r="B4" s="3">
        <v>2</v>
      </c>
      <c r="C4" s="6">
        <v>0.77777777777777801</v>
      </c>
      <c r="D4" s="6">
        <v>9.5250306600349695E-17</v>
      </c>
      <c r="E4" s="8">
        <v>3.14159265358979</v>
      </c>
      <c r="F4" s="7"/>
      <c r="G4" s="10">
        <v>0.70825518899955098</v>
      </c>
      <c r="H4" s="10">
        <v>-0.32142317722925501</v>
      </c>
      <c r="I4" s="10">
        <v>0.42602938279691099</v>
      </c>
      <c r="K4" s="10">
        <v>0.70825518899955098</v>
      </c>
      <c r="L4" s="10">
        <v>-0.32142317722925501</v>
      </c>
      <c r="M4" s="10">
        <v>0.44169835961667298</v>
      </c>
      <c r="N4" s="13"/>
      <c r="O4" s="10">
        <v>0.70553152053766099</v>
      </c>
      <c r="P4" s="10">
        <v>-0.327358435255233</v>
      </c>
      <c r="Q4" s="10">
        <v>0.34978223987942703</v>
      </c>
      <c r="R4" s="13"/>
      <c r="S4" s="8">
        <v>3.14159265358979</v>
      </c>
      <c r="T4" s="13"/>
      <c r="U4" s="13">
        <f t="shared" ref="U4:U67" si="0">E4-S4</f>
        <v>0</v>
      </c>
      <c r="V4" s="13">
        <f t="shared" ref="V4:V67" si="1">(I4-S4)*180/PI()+180</f>
        <v>24.40968558282654</v>
      </c>
      <c r="W4" s="13">
        <f t="shared" ref="W4:W67" si="2">(M4-S4)*180/PI()+180</f>
        <v>25.30745182388722</v>
      </c>
      <c r="X4" s="13">
        <f t="shared" ref="X4:X67" si="3">(Q4-S4)*180/PI()+180</f>
        <v>20.041046093723907</v>
      </c>
      <c r="Z4" t="str">
        <f t="shared" ref="Z4:Z67" si="4">C4&amp;","&amp;D4</f>
        <v>0.777777777777778,9.52503066003497E-17</v>
      </c>
      <c r="AA4" t="str">
        <f t="shared" ref="AA4:AA67" si="5">G4&amp;","&amp;H4</f>
        <v>0.708255188999551,-0.321423177229255</v>
      </c>
      <c r="AB4" t="str">
        <f t="shared" ref="AB4:AB67" si="6">K4&amp;","&amp;L4</f>
        <v>0.708255188999551,-0.321423177229255</v>
      </c>
      <c r="AC4" t="str">
        <f t="shared" ref="AC4:AC67" si="7">O4&amp;","&amp;P4</f>
        <v>0.705531520537661,-0.327358435255233</v>
      </c>
    </row>
    <row r="5" spans="2:29" x14ac:dyDescent="0.2">
      <c r="B5" s="3">
        <v>3</v>
      </c>
      <c r="C5" s="6">
        <v>1.55555555555556</v>
      </c>
      <c r="D5" s="6">
        <v>1.90500613200699E-16</v>
      </c>
      <c r="E5" s="8">
        <v>3.14159265358979</v>
      </c>
      <c r="F5" s="7"/>
      <c r="G5" s="10">
        <v>1.4165103779991</v>
      </c>
      <c r="H5" s="10">
        <v>-0.64284635445851002</v>
      </c>
      <c r="I5" s="10">
        <v>0.22888082973158999</v>
      </c>
      <c r="K5" s="10">
        <v>1.41138726926173</v>
      </c>
      <c r="L5" s="10">
        <v>-0.65390407790042504</v>
      </c>
      <c r="M5" s="10">
        <v>0.22888082973158999</v>
      </c>
      <c r="N5" s="13"/>
      <c r="O5" s="10">
        <v>1.43621280057064</v>
      </c>
      <c r="P5" s="10">
        <v>-0.59389762301999705</v>
      </c>
      <c r="Q5" s="10">
        <v>0.14578499519178201</v>
      </c>
      <c r="R5" s="13"/>
      <c r="S5" s="8">
        <v>3.14159265358979</v>
      </c>
      <c r="T5" s="13"/>
      <c r="U5" s="13">
        <f t="shared" si="0"/>
        <v>0</v>
      </c>
      <c r="V5" s="13">
        <f t="shared" si="1"/>
        <v>13.113905555072705</v>
      </c>
      <c r="W5" s="13">
        <f t="shared" si="2"/>
        <v>13.113905555072705</v>
      </c>
      <c r="X5" s="13">
        <f t="shared" si="3"/>
        <v>8.3528649408242757</v>
      </c>
      <c r="Z5" t="str">
        <f t="shared" si="4"/>
        <v>1.55555555555556,1.90500613200699E-16</v>
      </c>
      <c r="AA5" t="str">
        <f t="shared" si="5"/>
        <v>1.4165103779991,-0.64284635445851</v>
      </c>
      <c r="AB5" t="str">
        <f t="shared" si="6"/>
        <v>1.41138726926173,-0.653904077900425</v>
      </c>
      <c r="AC5" t="str">
        <f t="shared" si="7"/>
        <v>1.43621280057064,-0.593897623019997</v>
      </c>
    </row>
    <row r="6" spans="2:29" x14ac:dyDescent="0.2">
      <c r="B6" s="3">
        <v>4</v>
      </c>
      <c r="C6" s="6">
        <v>2.3333333333333299</v>
      </c>
      <c r="D6" s="6">
        <v>2.8575091980104902E-16</v>
      </c>
      <c r="E6" s="8">
        <v>3.14159265358979</v>
      </c>
      <c r="F6" s="7"/>
      <c r="G6" s="10">
        <v>2.1740044353185701</v>
      </c>
      <c r="H6" s="10">
        <v>-0.81931455196342795</v>
      </c>
      <c r="I6" s="10">
        <v>8.7598161679542E-2</v>
      </c>
      <c r="K6" s="10">
        <v>2.1688813265812001</v>
      </c>
      <c r="L6" s="10">
        <v>-0.83037227540534397</v>
      </c>
      <c r="M6" s="10">
        <v>8.7598161679542E-2</v>
      </c>
      <c r="N6" s="13"/>
      <c r="O6" s="10">
        <v>2.2057400479064899</v>
      </c>
      <c r="P6" s="10">
        <v>-0.70688473384533801</v>
      </c>
      <c r="Q6" s="10">
        <v>-0.132230270269594</v>
      </c>
      <c r="R6" s="13"/>
      <c r="S6" s="8">
        <v>3.14159265358979</v>
      </c>
      <c r="T6" s="13"/>
      <c r="U6" s="13">
        <f t="shared" si="0"/>
        <v>0</v>
      </c>
      <c r="V6" s="13">
        <f t="shared" si="1"/>
        <v>5.0190049573425597</v>
      </c>
      <c r="W6" s="13">
        <f t="shared" si="2"/>
        <v>5.0190049573425597</v>
      </c>
      <c r="X6" s="13">
        <f t="shared" si="3"/>
        <v>-7.5762364103217692</v>
      </c>
      <c r="Z6" t="str">
        <f t="shared" si="4"/>
        <v>2.33333333333333,2.85750919801049E-16</v>
      </c>
      <c r="AA6" t="str">
        <f t="shared" si="5"/>
        <v>2.17400443531857,-0.819314551963428</v>
      </c>
      <c r="AB6" t="str">
        <f t="shared" si="6"/>
        <v>2.1688813265812,-0.830372275405344</v>
      </c>
      <c r="AC6" t="str">
        <f t="shared" si="7"/>
        <v>2.20574004790649,-0.706884733845338</v>
      </c>
    </row>
    <row r="7" spans="2:29" x14ac:dyDescent="0.2">
      <c r="B7" s="3">
        <v>5</v>
      </c>
      <c r="C7" s="6">
        <v>3.1111111111111098</v>
      </c>
      <c r="D7" s="6">
        <v>3.8100122640139898E-16</v>
      </c>
      <c r="E7" s="8">
        <v>3.14159265358979</v>
      </c>
      <c r="F7" s="7"/>
      <c r="G7" s="10">
        <v>2.9488000060595199</v>
      </c>
      <c r="H7" s="10">
        <v>-0.88735935459471904</v>
      </c>
      <c r="I7" s="10">
        <v>0.19991476055919399</v>
      </c>
      <c r="K7" s="10">
        <v>2.9436768973221601</v>
      </c>
      <c r="L7" s="10">
        <v>-0.89841707803663395</v>
      </c>
      <c r="M7" s="10">
        <v>0.19991476055919399</v>
      </c>
      <c r="N7" s="13"/>
      <c r="O7" s="10">
        <v>2.9767280657955899</v>
      </c>
      <c r="P7" s="10">
        <v>-0.60433841320745596</v>
      </c>
      <c r="Q7" s="10">
        <v>1.24210201034E-2</v>
      </c>
      <c r="R7" s="13"/>
      <c r="S7" s="8">
        <v>3.14159265358979</v>
      </c>
      <c r="T7" s="13"/>
      <c r="U7" s="13">
        <f t="shared" si="0"/>
        <v>0</v>
      </c>
      <c r="V7" s="13">
        <f t="shared" si="1"/>
        <v>11.454272042410423</v>
      </c>
      <c r="W7" s="13">
        <f t="shared" si="2"/>
        <v>11.454272042410423</v>
      </c>
      <c r="X7" s="13">
        <f t="shared" si="3"/>
        <v>0.71167202917214922</v>
      </c>
      <c r="Z7" t="str">
        <f t="shared" si="4"/>
        <v>3.11111111111111,3.81001226401399E-16</v>
      </c>
      <c r="AA7" t="str">
        <f t="shared" si="5"/>
        <v>2.94880000605952,-0.887359354594719</v>
      </c>
      <c r="AB7" t="str">
        <f t="shared" si="6"/>
        <v>2.94367689732216,-0.898417078036634</v>
      </c>
      <c r="AC7" t="str">
        <f t="shared" si="7"/>
        <v>2.97672806579559,-0.604338413207456</v>
      </c>
    </row>
    <row r="8" spans="2:29" x14ac:dyDescent="0.2">
      <c r="B8" s="3">
        <v>6</v>
      </c>
      <c r="C8" s="6">
        <v>3.8888888888888902</v>
      </c>
      <c r="D8" s="6">
        <v>4.7625153300174898E-16</v>
      </c>
      <c r="E8" s="8">
        <v>3.14159265358979</v>
      </c>
      <c r="F8" s="7"/>
      <c r="G8" s="10">
        <v>3.71108717952663</v>
      </c>
      <c r="H8" s="10">
        <v>-1.0418149688419001</v>
      </c>
      <c r="I8" s="10">
        <v>-4.1375669341952304E-3</v>
      </c>
      <c r="K8" s="10">
        <v>3.70596407078926</v>
      </c>
      <c r="L8" s="10">
        <v>-1.0528726922838101</v>
      </c>
      <c r="M8" s="10">
        <v>-4.1375669341952304E-3</v>
      </c>
      <c r="N8" s="13"/>
      <c r="O8" s="10">
        <v>3.75444584589015</v>
      </c>
      <c r="P8" s="10">
        <v>-0.61399895820912398</v>
      </c>
      <c r="Q8" s="10">
        <v>-0.22974777741425001</v>
      </c>
      <c r="R8" s="13"/>
      <c r="S8" s="8">
        <v>3.14159265358979</v>
      </c>
      <c r="T8" s="13"/>
      <c r="U8" s="13">
        <f t="shared" si="0"/>
        <v>0</v>
      </c>
      <c r="V8" s="13">
        <f t="shared" si="1"/>
        <v>-0.23706512278209857</v>
      </c>
      <c r="W8" s="13">
        <f t="shared" si="2"/>
        <v>-0.23706512278209857</v>
      </c>
      <c r="X8" s="13">
        <f t="shared" si="3"/>
        <v>-13.163577998347421</v>
      </c>
      <c r="Z8" t="str">
        <f t="shared" si="4"/>
        <v>3.88888888888889,4.76251533001749E-16</v>
      </c>
      <c r="AA8" t="str">
        <f t="shared" si="5"/>
        <v>3.71108717952663,-1.0418149688419</v>
      </c>
      <c r="AB8" t="str">
        <f t="shared" si="6"/>
        <v>3.70596407078926,-1.05287269228381</v>
      </c>
      <c r="AC8" t="str">
        <f t="shared" si="7"/>
        <v>3.75444584589015,-0.613998958209124</v>
      </c>
    </row>
    <row r="9" spans="2:29" x14ac:dyDescent="0.2">
      <c r="B9" s="3">
        <v>7</v>
      </c>
      <c r="C9" s="6">
        <v>4.6666666666666696</v>
      </c>
      <c r="D9" s="6">
        <v>5.7150183960209805E-16</v>
      </c>
      <c r="E9" s="8">
        <v>3.14159265358979</v>
      </c>
      <c r="F9" s="7"/>
      <c r="G9" s="10">
        <v>4.4888582997460702</v>
      </c>
      <c r="H9" s="10">
        <v>-1.0385968704084501</v>
      </c>
      <c r="I9" s="10">
        <v>-4.1375669341952304E-3</v>
      </c>
      <c r="K9" s="10">
        <v>4.4837351910087104</v>
      </c>
      <c r="L9" s="10">
        <v>-1.0496545938503601</v>
      </c>
      <c r="M9" s="10">
        <v>3.9699908441446899E-2</v>
      </c>
      <c r="N9" s="13"/>
      <c r="O9" s="10">
        <v>4.5117866298682898</v>
      </c>
      <c r="P9" s="10">
        <v>-0.43687411938544102</v>
      </c>
      <c r="Q9" s="10">
        <v>-0.24918726114394499</v>
      </c>
      <c r="R9" s="13"/>
      <c r="S9" s="8">
        <v>3.14159265358979</v>
      </c>
      <c r="T9" s="13"/>
      <c r="U9" s="13">
        <f t="shared" si="0"/>
        <v>0</v>
      </c>
      <c r="V9" s="13">
        <f t="shared" si="1"/>
        <v>-0.23706512278209857</v>
      </c>
      <c r="W9" s="13">
        <f t="shared" si="2"/>
        <v>2.2746372007509024</v>
      </c>
      <c r="X9" s="13">
        <f t="shared" si="3"/>
        <v>-14.277378371972162</v>
      </c>
      <c r="Z9" t="str">
        <f t="shared" si="4"/>
        <v>4.66666666666667,5.71501839602098E-16</v>
      </c>
      <c r="AA9" t="str">
        <f t="shared" si="5"/>
        <v>4.48885829974607,-1.03859687040845</v>
      </c>
      <c r="AB9" t="str">
        <f t="shared" si="6"/>
        <v>4.48373519100871,-1.04965459385036</v>
      </c>
      <c r="AC9" t="str">
        <f t="shared" si="7"/>
        <v>4.51178662986829,-0.436874119385441</v>
      </c>
    </row>
    <row r="10" spans="2:29" x14ac:dyDescent="0.2">
      <c r="B10" s="3">
        <v>8</v>
      </c>
      <c r="C10" s="6">
        <v>5.44444444444445</v>
      </c>
      <c r="D10" s="6">
        <v>6.66752146202448E-16</v>
      </c>
      <c r="E10" s="8">
        <v>3.14159265358979</v>
      </c>
      <c r="F10" s="7"/>
      <c r="G10" s="10">
        <v>5.2666294199655201</v>
      </c>
      <c r="H10" s="10">
        <v>-1.0353787719750001</v>
      </c>
      <c r="I10" s="10">
        <v>-0.41248954007829802</v>
      </c>
      <c r="K10" s="10">
        <v>5.2609001282216799</v>
      </c>
      <c r="L10" s="10">
        <v>-1.0805241900850799</v>
      </c>
      <c r="M10" s="10">
        <v>-0.41248954007829802</v>
      </c>
      <c r="N10" s="13"/>
      <c r="O10" s="10">
        <v>5.2655413226973398</v>
      </c>
      <c r="P10" s="10">
        <v>-0.24506136005196499</v>
      </c>
      <c r="Q10" s="10">
        <v>-1.2164021993015299</v>
      </c>
      <c r="R10" s="13"/>
      <c r="S10" s="8">
        <v>3.14159265358979</v>
      </c>
      <c r="T10" s="13"/>
      <c r="U10" s="13">
        <f t="shared" si="0"/>
        <v>0</v>
      </c>
      <c r="V10" s="13">
        <f t="shared" si="1"/>
        <v>-23.633909739778716</v>
      </c>
      <c r="W10" s="13">
        <f t="shared" si="2"/>
        <v>-23.633909739778716</v>
      </c>
      <c r="X10" s="13">
        <f t="shared" si="3"/>
        <v>-69.694712210408682</v>
      </c>
      <c r="Z10" t="str">
        <f t="shared" si="4"/>
        <v>5.44444444444445,6.66752146202448E-16</v>
      </c>
      <c r="AA10" t="str">
        <f t="shared" si="5"/>
        <v>5.26662941996552,-1.035378771975</v>
      </c>
      <c r="AB10" t="str">
        <f t="shared" si="6"/>
        <v>5.26090012822168,-1.08052419008508</v>
      </c>
      <c r="AC10" t="str">
        <f t="shared" si="7"/>
        <v>5.26554132269734,-0.245061360051965</v>
      </c>
    </row>
    <row r="11" spans="2:29" x14ac:dyDescent="0.2">
      <c r="B11" s="3">
        <v>9</v>
      </c>
      <c r="C11" s="6">
        <v>6.2222222222222197</v>
      </c>
      <c r="D11" s="6">
        <v>3.1798214842086899E-15</v>
      </c>
      <c r="E11" s="8">
        <v>3.14159265358979</v>
      </c>
      <c r="F11" s="7"/>
      <c r="G11" s="10">
        <v>5.9791715749796603</v>
      </c>
      <c r="H11" s="10">
        <v>-0.72357442798227101</v>
      </c>
      <c r="I11" s="10">
        <v>0.37358485705737199</v>
      </c>
      <c r="K11" s="10">
        <v>5.97344228323582</v>
      </c>
      <c r="L11" s="10">
        <v>-0.768719846092348</v>
      </c>
      <c r="M11" s="10">
        <v>0.37358485705737199</v>
      </c>
      <c r="N11" s="13"/>
      <c r="O11" s="10">
        <v>5.5354474838879204</v>
      </c>
      <c r="P11" s="10">
        <v>0.48438290495825898</v>
      </c>
      <c r="Q11" s="10">
        <v>0.165694773051664</v>
      </c>
      <c r="R11" s="13"/>
      <c r="S11" s="8">
        <v>3.14159265358979</v>
      </c>
      <c r="T11" s="13"/>
      <c r="U11" s="13">
        <f t="shared" si="0"/>
        <v>0</v>
      </c>
      <c r="V11" s="13">
        <f t="shared" si="1"/>
        <v>21.404835599385734</v>
      </c>
      <c r="W11" s="13">
        <f t="shared" si="2"/>
        <v>21.404835599385734</v>
      </c>
      <c r="X11" s="13">
        <f t="shared" si="3"/>
        <v>9.4936111832385279</v>
      </c>
      <c r="Z11" t="str">
        <f t="shared" si="4"/>
        <v>6.22222222222222,3.17982148420869E-15</v>
      </c>
      <c r="AA11" t="str">
        <f t="shared" si="5"/>
        <v>5.97917157497966,-0.723574427982271</v>
      </c>
      <c r="AB11" t="str">
        <f t="shared" si="6"/>
        <v>5.97344228323582,-0.768719846092348</v>
      </c>
      <c r="AC11" t="str">
        <f t="shared" si="7"/>
        <v>5.53544748388792,0.484382904958259</v>
      </c>
    </row>
    <row r="12" spans="2:29" x14ac:dyDescent="0.2">
      <c r="B12" s="3">
        <v>10</v>
      </c>
      <c r="C12" s="6">
        <v>7</v>
      </c>
      <c r="D12" s="6">
        <v>3.2750717908090398E-15</v>
      </c>
      <c r="E12" s="8">
        <v>3.14159265358979</v>
      </c>
      <c r="F12" s="7"/>
      <c r="G12" s="10">
        <v>6.70330214452982</v>
      </c>
      <c r="H12" s="10">
        <v>-1.00742859802018</v>
      </c>
      <c r="I12" s="10">
        <v>0.212707564473336</v>
      </c>
      <c r="K12" s="10">
        <v>6.6975728527859797</v>
      </c>
      <c r="L12" s="10">
        <v>-1.0525740161302599</v>
      </c>
      <c r="M12" s="10">
        <v>0.212707564473336</v>
      </c>
      <c r="N12" s="13"/>
      <c r="O12" s="10">
        <v>6.3025728165877499</v>
      </c>
      <c r="P12" s="10">
        <v>0.35609808303797702</v>
      </c>
      <c r="Q12" s="10">
        <v>-4.3851531399799103E-2</v>
      </c>
      <c r="R12" s="13"/>
      <c r="S12" s="8">
        <v>3.14159265358979</v>
      </c>
      <c r="T12" s="13"/>
      <c r="U12" s="13">
        <f t="shared" si="0"/>
        <v>0</v>
      </c>
      <c r="V12" s="13">
        <f t="shared" si="1"/>
        <v>12.187245714829203</v>
      </c>
      <c r="W12" s="13">
        <f t="shared" si="2"/>
        <v>12.187245714829203</v>
      </c>
      <c r="X12" s="13">
        <f t="shared" si="3"/>
        <v>-2.5125076743937029</v>
      </c>
      <c r="Z12" t="str">
        <f t="shared" si="4"/>
        <v>7,3.27507179080904E-15</v>
      </c>
      <c r="AA12" t="str">
        <f t="shared" si="5"/>
        <v>6.70330214452982,-1.00742859802018</v>
      </c>
      <c r="AB12" t="str">
        <f t="shared" si="6"/>
        <v>6.69757285278598,-1.05257401613026</v>
      </c>
      <c r="AC12" t="str">
        <f t="shared" si="7"/>
        <v>6.30257281658775,0.356098083037977</v>
      </c>
    </row>
    <row r="13" spans="2:29" x14ac:dyDescent="0.2">
      <c r="B13" s="3">
        <v>11</v>
      </c>
      <c r="C13" s="6">
        <v>7.7777777777777803</v>
      </c>
      <c r="D13" s="6">
        <v>3.3703220974093902E-15</v>
      </c>
      <c r="E13" s="8">
        <v>3.14159265358979</v>
      </c>
      <c r="F13" s="7"/>
      <c r="G13" s="10">
        <v>7.4635510759850101</v>
      </c>
      <c r="H13" s="10">
        <v>-1.17162309800775</v>
      </c>
      <c r="I13" s="10">
        <v>0.36220381051299</v>
      </c>
      <c r="K13" s="10">
        <v>7.4578217842411698</v>
      </c>
      <c r="L13" s="10">
        <v>-1.2167685161178201</v>
      </c>
      <c r="M13" s="10">
        <v>0.36220381051299</v>
      </c>
      <c r="N13" s="13"/>
      <c r="O13" s="10">
        <v>7.0796028976570398</v>
      </c>
      <c r="P13" s="10">
        <v>0.39019389976643998</v>
      </c>
      <c r="Q13" s="10">
        <v>-1.20571767363101</v>
      </c>
      <c r="R13" s="13"/>
      <c r="S13" s="8">
        <v>3.14159265358979</v>
      </c>
      <c r="T13" s="13"/>
      <c r="U13" s="13">
        <f t="shared" si="0"/>
        <v>0</v>
      </c>
      <c r="V13" s="13">
        <f t="shared" si="1"/>
        <v>20.752749665950716</v>
      </c>
      <c r="W13" s="13">
        <f t="shared" si="2"/>
        <v>20.752749665950716</v>
      </c>
      <c r="X13" s="13">
        <f t="shared" si="3"/>
        <v>-69.082533983388714</v>
      </c>
      <c r="Z13" t="str">
        <f t="shared" si="4"/>
        <v>7.77777777777778,3.37032209740939E-15</v>
      </c>
      <c r="AA13" t="str">
        <f t="shared" si="5"/>
        <v>7.46355107598501,-1.17162309800775</v>
      </c>
      <c r="AB13" t="str">
        <f t="shared" si="6"/>
        <v>7.45782178424117,-1.21676851611782</v>
      </c>
      <c r="AC13" t="str">
        <f t="shared" si="7"/>
        <v>7.07960289765704,0.39019389976644</v>
      </c>
    </row>
    <row r="14" spans="2:29" x14ac:dyDescent="0.2">
      <c r="B14" s="3">
        <v>12</v>
      </c>
      <c r="C14" s="6">
        <v>8.5555555555555607</v>
      </c>
      <c r="D14" s="6">
        <v>3.4655724040097401E-15</v>
      </c>
      <c r="E14" s="8">
        <v>3.14159265358979</v>
      </c>
      <c r="F14" s="7"/>
      <c r="G14" s="10">
        <v>8.1908652361494294</v>
      </c>
      <c r="H14" s="10">
        <v>-1.4472176988787799</v>
      </c>
      <c r="I14" s="10">
        <v>0.36220381051299</v>
      </c>
      <c r="K14" s="10">
        <v>8.1851359444055891</v>
      </c>
      <c r="L14" s="10">
        <v>-1.49236311698886</v>
      </c>
      <c r="M14" s="10">
        <v>0.40704745860123798</v>
      </c>
      <c r="N14" s="13"/>
      <c r="O14" s="10">
        <v>7.3572872705608301</v>
      </c>
      <c r="P14" s="10">
        <v>1.1167127643872901</v>
      </c>
      <c r="Q14" s="10">
        <v>0.40484124917134101</v>
      </c>
      <c r="R14" s="13"/>
      <c r="S14" s="8">
        <v>3.14159265358979</v>
      </c>
      <c r="T14" s="13"/>
      <c r="U14" s="13">
        <f t="shared" si="0"/>
        <v>0</v>
      </c>
      <c r="V14" s="13">
        <f t="shared" si="1"/>
        <v>20.752749665950716</v>
      </c>
      <c r="W14" s="13">
        <f t="shared" si="2"/>
        <v>23.322101439377207</v>
      </c>
      <c r="X14" s="13">
        <f t="shared" si="3"/>
        <v>23.195694950322178</v>
      </c>
      <c r="Z14" t="str">
        <f t="shared" si="4"/>
        <v>8.55555555555556,3.46557240400974E-15</v>
      </c>
      <c r="AA14" t="str">
        <f t="shared" si="5"/>
        <v>8.19086523614943,-1.44721769887878</v>
      </c>
      <c r="AB14" t="str">
        <f t="shared" si="6"/>
        <v>8.18513594440559,-1.49236311698886</v>
      </c>
      <c r="AC14" t="str">
        <f t="shared" si="7"/>
        <v>7.35728727056083,1.11671276438729</v>
      </c>
    </row>
    <row r="15" spans="2:29" x14ac:dyDescent="0.2">
      <c r="B15" s="3">
        <v>13</v>
      </c>
      <c r="C15" s="6">
        <v>9.3333333333333304</v>
      </c>
      <c r="D15" s="6">
        <v>3.5608227106100897E-15</v>
      </c>
      <c r="E15" s="8">
        <v>3.14159265358979</v>
      </c>
      <c r="F15" s="7"/>
      <c r="G15" s="10">
        <v>8.9181793963138496</v>
      </c>
      <c r="H15" s="10">
        <v>-1.7228122997498201</v>
      </c>
      <c r="I15" s="10">
        <v>0.18994968777023899</v>
      </c>
      <c r="K15" s="10">
        <v>8.8993644043013198</v>
      </c>
      <c r="L15" s="10">
        <v>-1.8002851504322499</v>
      </c>
      <c r="M15" s="10">
        <v>0.18994968777023899</v>
      </c>
      <c r="N15" s="13"/>
      <c r="O15" s="10">
        <v>8.0721933321964894</v>
      </c>
      <c r="P15" s="10">
        <v>0.81036721661233702</v>
      </c>
      <c r="Q15" s="10">
        <v>-8.3560423243533202E-2</v>
      </c>
      <c r="R15" s="13"/>
      <c r="S15" s="8">
        <v>3.14159265358979</v>
      </c>
      <c r="T15" s="13"/>
      <c r="U15" s="13">
        <f t="shared" si="0"/>
        <v>0</v>
      </c>
      <c r="V15" s="13">
        <f t="shared" si="1"/>
        <v>10.883315429062634</v>
      </c>
      <c r="W15" s="13">
        <f t="shared" si="2"/>
        <v>10.883315429062634</v>
      </c>
      <c r="X15" s="13">
        <f t="shared" si="3"/>
        <v>-4.7876595861811495</v>
      </c>
      <c r="Z15" t="str">
        <f t="shared" si="4"/>
        <v>9.33333333333333,3.56082271061009E-15</v>
      </c>
      <c r="AA15" t="str">
        <f t="shared" si="5"/>
        <v>8.91817939631385,-1.72281229974982</v>
      </c>
      <c r="AB15" t="str">
        <f t="shared" si="6"/>
        <v>8.89936440430132,-1.80028515043225</v>
      </c>
      <c r="AC15" t="str">
        <f t="shared" si="7"/>
        <v>8.07219333219649,0.810367216612337</v>
      </c>
    </row>
    <row r="16" spans="2:29" x14ac:dyDescent="0.2">
      <c r="B16" s="3">
        <v>14</v>
      </c>
      <c r="C16" s="6">
        <v>10.1111111111111</v>
      </c>
      <c r="D16" s="6">
        <v>3.65607301721044E-15</v>
      </c>
      <c r="E16" s="8">
        <v>3.14159265358979</v>
      </c>
      <c r="F16" s="7"/>
      <c r="G16" s="10">
        <v>9.6819678574811299</v>
      </c>
      <c r="H16" s="10">
        <v>-1.8696641236835501</v>
      </c>
      <c r="I16" s="10">
        <v>6.9179243851929403E-2</v>
      </c>
      <c r="K16" s="10">
        <v>9.6631528654686001</v>
      </c>
      <c r="L16" s="10">
        <v>-1.9471369743659801</v>
      </c>
      <c r="M16" s="10">
        <v>6.9179243851929403E-2</v>
      </c>
      <c r="N16" s="13"/>
      <c r="O16" s="10">
        <v>8.8472573334398508</v>
      </c>
      <c r="P16" s="10">
        <v>0.87528305121046701</v>
      </c>
      <c r="Q16" s="10">
        <v>-0.14114908471232701</v>
      </c>
      <c r="R16" s="13"/>
      <c r="S16" s="8">
        <v>3.14159265358979</v>
      </c>
      <c r="T16" s="13"/>
      <c r="U16" s="13">
        <f t="shared" si="0"/>
        <v>0</v>
      </c>
      <c r="V16" s="13">
        <f t="shared" si="1"/>
        <v>3.9636787026220759</v>
      </c>
      <c r="W16" s="13">
        <f t="shared" si="2"/>
        <v>3.9636787026220759</v>
      </c>
      <c r="X16" s="13">
        <f t="shared" si="3"/>
        <v>-8.0872468361506833</v>
      </c>
      <c r="Z16" t="str">
        <f t="shared" si="4"/>
        <v>10.1111111111111,3.65607301721044E-15</v>
      </c>
      <c r="AA16" t="str">
        <f t="shared" si="5"/>
        <v>9.68196785748113,-1.86966412368355</v>
      </c>
      <c r="AB16" t="str">
        <f t="shared" si="6"/>
        <v>9.6631528654686,-1.94713697436598</v>
      </c>
      <c r="AC16" t="str">
        <f t="shared" si="7"/>
        <v>8.84725733343985,0.875283051210467</v>
      </c>
    </row>
    <row r="17" spans="2:29" x14ac:dyDescent="0.2">
      <c r="B17" s="3">
        <v>15</v>
      </c>
      <c r="C17" s="6">
        <v>10.8888888888889</v>
      </c>
      <c r="D17" s="6">
        <v>3.7513233238107904E-15</v>
      </c>
      <c r="E17" s="8">
        <v>3.14159265358979</v>
      </c>
      <c r="F17" s="7"/>
      <c r="G17" s="10">
        <v>10.4578852454715</v>
      </c>
      <c r="H17" s="10">
        <v>-1.92342729527062</v>
      </c>
      <c r="I17" s="10">
        <v>0.22338711085302601</v>
      </c>
      <c r="K17" s="10">
        <v>10.439070253459001</v>
      </c>
      <c r="L17" s="10">
        <v>-2.0009001459530502</v>
      </c>
      <c r="M17" s="10">
        <v>0.22338711085302601</v>
      </c>
      <c r="N17" s="13"/>
      <c r="O17" s="10">
        <v>9.6173001078341294</v>
      </c>
      <c r="P17" s="10">
        <v>0.98470150124563705</v>
      </c>
      <c r="Q17" s="10">
        <v>-6.9037151387133094E-2</v>
      </c>
      <c r="R17" s="13"/>
      <c r="S17" s="8">
        <v>3.14159265358979</v>
      </c>
      <c r="T17" s="13"/>
      <c r="U17" s="13">
        <f t="shared" si="0"/>
        <v>0</v>
      </c>
      <c r="V17" s="13">
        <f t="shared" si="1"/>
        <v>12.799138649499611</v>
      </c>
      <c r="W17" s="13">
        <f t="shared" si="2"/>
        <v>12.799138649499611</v>
      </c>
      <c r="X17" s="13">
        <f t="shared" si="3"/>
        <v>-3.9555374040882896</v>
      </c>
      <c r="Z17" t="str">
        <f t="shared" si="4"/>
        <v>10.8888888888889,3.75132332381079E-15</v>
      </c>
      <c r="AA17" t="str">
        <f t="shared" si="5"/>
        <v>10.4578852454715,-1.92342729527062</v>
      </c>
      <c r="AB17" t="str">
        <f t="shared" si="6"/>
        <v>10.439070253459,-2.00090014595305</v>
      </c>
      <c r="AC17" t="str">
        <f t="shared" si="7"/>
        <v>9.61730010783413,0.984701501245637</v>
      </c>
    </row>
    <row r="18" spans="2:29" x14ac:dyDescent="0.2">
      <c r="B18" s="3">
        <v>16</v>
      </c>
      <c r="C18" s="6">
        <v>11.6666666666667</v>
      </c>
      <c r="D18" s="6">
        <v>3.8465736304111399E-15</v>
      </c>
      <c r="E18" s="8">
        <v>3.14159265358979</v>
      </c>
      <c r="F18" s="7"/>
      <c r="G18" s="10">
        <v>11.2163373336672</v>
      </c>
      <c r="H18" s="10">
        <v>-2.0957313913232398</v>
      </c>
      <c r="I18" s="10">
        <v>0.22338711085302601</v>
      </c>
      <c r="K18" s="10">
        <v>11.1975223416547</v>
      </c>
      <c r="L18" s="10">
        <v>-2.1732042420056699</v>
      </c>
      <c r="M18" s="10">
        <v>0.143154409252508</v>
      </c>
      <c r="N18" s="13"/>
      <c r="O18" s="10">
        <v>10.3932251273331</v>
      </c>
      <c r="P18" s="10">
        <v>1.0383544202762001</v>
      </c>
      <c r="Q18" s="10">
        <v>-0.14278975200060101</v>
      </c>
      <c r="R18" s="13"/>
      <c r="S18" s="8">
        <v>3.14159265358979</v>
      </c>
      <c r="T18" s="13"/>
      <c r="U18" s="13">
        <f t="shared" si="0"/>
        <v>0</v>
      </c>
      <c r="V18" s="13">
        <f t="shared" si="1"/>
        <v>12.799138649499611</v>
      </c>
      <c r="W18" s="13">
        <f t="shared" si="2"/>
        <v>8.2021434688574288</v>
      </c>
      <c r="X18" s="13">
        <f t="shared" si="3"/>
        <v>-8.1812501473539498</v>
      </c>
      <c r="Z18" t="str">
        <f t="shared" si="4"/>
        <v>11.6666666666667,3.84657363041114E-15</v>
      </c>
      <c r="AA18" t="str">
        <f t="shared" si="5"/>
        <v>11.2163373336672,-2.09573139132324</v>
      </c>
      <c r="AB18" t="str">
        <f t="shared" si="6"/>
        <v>11.1975223416547,-2.17320424200567</v>
      </c>
      <c r="AC18" t="str">
        <f t="shared" si="7"/>
        <v>10.3932251273331,1.0383544202762</v>
      </c>
    </row>
    <row r="19" spans="2:29" x14ac:dyDescent="0.2">
      <c r="B19" s="3">
        <v>17</v>
      </c>
      <c r="C19" s="6">
        <v>12.4444444444444</v>
      </c>
      <c r="D19" s="6">
        <v>3.9418239370114903E-15</v>
      </c>
      <c r="E19" s="8">
        <v>3.14159265358979</v>
      </c>
      <c r="F19" s="7"/>
      <c r="G19" s="10">
        <v>11.9747894218629</v>
      </c>
      <c r="H19" s="10">
        <v>-2.2680354873758599</v>
      </c>
      <c r="I19" s="10">
        <v>0.143154409252508</v>
      </c>
      <c r="K19" s="10">
        <v>11.967344148396799</v>
      </c>
      <c r="L19" s="10">
        <v>-2.2841666566747998</v>
      </c>
      <c r="M19" s="10">
        <v>0.12068977404751099</v>
      </c>
      <c r="N19" s="13"/>
      <c r="O19" s="10">
        <v>11.163087346139999</v>
      </c>
      <c r="P19" s="10">
        <v>1.1490361064694301</v>
      </c>
      <c r="Q19" s="10">
        <v>-0.195012660196862</v>
      </c>
      <c r="R19" s="13"/>
      <c r="S19" s="8">
        <v>3.14159265358979</v>
      </c>
      <c r="T19" s="13"/>
      <c r="U19" s="13">
        <f t="shared" si="0"/>
        <v>0</v>
      </c>
      <c r="V19" s="13">
        <f t="shared" si="1"/>
        <v>8.2021434688574288</v>
      </c>
      <c r="W19" s="13">
        <f t="shared" si="2"/>
        <v>6.9150146833100905</v>
      </c>
      <c r="X19" s="13">
        <f t="shared" si="3"/>
        <v>-11.173402380898835</v>
      </c>
      <c r="Z19" t="str">
        <f t="shared" si="4"/>
        <v>12.4444444444444,3.94182393701149E-15</v>
      </c>
      <c r="AA19" t="str">
        <f t="shared" si="5"/>
        <v>11.9747894218629,-2.26803548737586</v>
      </c>
      <c r="AB19" t="str">
        <f t="shared" si="6"/>
        <v>11.9673441483968,-2.2841666566748</v>
      </c>
      <c r="AC19" t="str">
        <f t="shared" si="7"/>
        <v>11.16308734614,1.14903610646943</v>
      </c>
    </row>
    <row r="20" spans="2:29" x14ac:dyDescent="0.2">
      <c r="B20" s="3">
        <v>18</v>
      </c>
      <c r="C20" s="6">
        <v>13.2222222222222</v>
      </c>
      <c r="D20" s="6">
        <v>4.0370742436118399E-15</v>
      </c>
      <c r="E20" s="8">
        <v>3.14159265358979</v>
      </c>
      <c r="F20" s="7"/>
      <c r="G20" s="10">
        <v>12.7446112286051</v>
      </c>
      <c r="H20" s="10">
        <v>-2.3789979020449801</v>
      </c>
      <c r="I20" s="10">
        <v>0.12068977404751099</v>
      </c>
      <c r="K20" s="10">
        <v>12.739464234743901</v>
      </c>
      <c r="L20" s="10">
        <v>-2.3778087618646402</v>
      </c>
      <c r="M20" s="10">
        <v>0.19273900412734801</v>
      </c>
      <c r="N20" s="13"/>
      <c r="O20" s="10">
        <v>11.9261225144111</v>
      </c>
      <c r="P20" s="10">
        <v>1.2997530716277299</v>
      </c>
      <c r="Q20" s="10">
        <v>-6.5793235987967505E-2</v>
      </c>
      <c r="R20" s="13"/>
      <c r="S20" s="8">
        <v>3.14159265358979</v>
      </c>
      <c r="T20" s="13"/>
      <c r="U20" s="13">
        <f t="shared" si="0"/>
        <v>0</v>
      </c>
      <c r="V20" s="13">
        <f t="shared" si="1"/>
        <v>6.9150146833100905</v>
      </c>
      <c r="W20" s="13">
        <f t="shared" si="2"/>
        <v>11.043131484051798</v>
      </c>
      <c r="X20" s="13">
        <f t="shared" si="3"/>
        <v>-3.769674742618605</v>
      </c>
      <c r="Z20" t="str">
        <f t="shared" si="4"/>
        <v>13.2222222222222,4.03707424361184E-15</v>
      </c>
      <c r="AA20" t="str">
        <f t="shared" si="5"/>
        <v>12.7446112286051,-2.37899790204498</v>
      </c>
      <c r="AB20" t="str">
        <f t="shared" si="6"/>
        <v>12.7394642347439,-2.37780876186464</v>
      </c>
      <c r="AC20" t="str">
        <f t="shared" si="7"/>
        <v>11.9261225144111,1.29975307162773</v>
      </c>
    </row>
    <row r="21" spans="2:29" x14ac:dyDescent="0.2">
      <c r="B21" s="3">
        <v>19</v>
      </c>
      <c r="C21" s="6">
        <v>14</v>
      </c>
      <c r="D21" s="6">
        <v>4.1323245502121902E-15</v>
      </c>
      <c r="E21" s="8">
        <v>3.14159265358979</v>
      </c>
      <c r="F21" s="7"/>
      <c r="G21" s="10">
        <v>13.5167313149521</v>
      </c>
      <c r="H21" s="10">
        <v>-2.4726400072348298</v>
      </c>
      <c r="I21" s="10">
        <v>0.19273900412734801</v>
      </c>
      <c r="K21" s="10">
        <v>13.502840109003399</v>
      </c>
      <c r="L21" s="10">
        <v>-2.5267904594096802</v>
      </c>
      <c r="M21" s="10">
        <v>0.23723317409168701</v>
      </c>
      <c r="N21" s="13"/>
      <c r="O21" s="10">
        <v>12.7022174966141</v>
      </c>
      <c r="P21" s="10">
        <v>1.35088867765915</v>
      </c>
      <c r="Q21" s="10">
        <v>-2.3702606737785901E-3</v>
      </c>
      <c r="R21" s="13"/>
      <c r="S21" s="8">
        <v>3.14159265358979</v>
      </c>
      <c r="T21" s="13"/>
      <c r="U21" s="13">
        <f t="shared" si="0"/>
        <v>0</v>
      </c>
      <c r="V21" s="13">
        <f t="shared" si="1"/>
        <v>11.043131484051798</v>
      </c>
      <c r="W21" s="13">
        <f t="shared" si="2"/>
        <v>13.592459635946142</v>
      </c>
      <c r="X21" s="13">
        <f t="shared" si="3"/>
        <v>-0.13580593295318977</v>
      </c>
      <c r="Z21" t="str">
        <f t="shared" si="4"/>
        <v>14,4.13232455021219E-15</v>
      </c>
      <c r="AA21" t="str">
        <f t="shared" si="5"/>
        <v>13.5167313149521,-2.47264000723483</v>
      </c>
      <c r="AB21" t="str">
        <f t="shared" si="6"/>
        <v>13.5028401090034,-2.52679045940968</v>
      </c>
      <c r="AC21" t="str">
        <f t="shared" si="7"/>
        <v>12.7022174966141,1.35088867765915</v>
      </c>
    </row>
    <row r="22" spans="2:29" x14ac:dyDescent="0.2">
      <c r="B22" s="3">
        <v>20</v>
      </c>
      <c r="C22" s="6">
        <v>14.7777777777778</v>
      </c>
      <c r="D22" s="6">
        <v>4.2275748568125398E-15</v>
      </c>
      <c r="E22" s="8">
        <v>3.14159265358979</v>
      </c>
      <c r="F22" s="7"/>
      <c r="G22" s="10">
        <v>14.2801071892117</v>
      </c>
      <c r="H22" s="10">
        <v>-2.6216217047798702</v>
      </c>
      <c r="I22" s="10">
        <v>4.3058831497631803E-2</v>
      </c>
      <c r="K22" s="10">
        <v>14.258833838439401</v>
      </c>
      <c r="L22" s="10">
        <v>-2.7095792792492901</v>
      </c>
      <c r="M22" s="10">
        <v>4.3058831497631803E-2</v>
      </c>
      <c r="N22" s="13"/>
      <c r="O22" s="10">
        <v>13.4799930895624</v>
      </c>
      <c r="P22" s="10">
        <v>1.35273221201255</v>
      </c>
      <c r="Q22" s="10">
        <v>-0.26797635723868601</v>
      </c>
      <c r="R22" s="13"/>
      <c r="S22" s="8">
        <v>3.14159265358979</v>
      </c>
      <c r="T22" s="13"/>
      <c r="U22" s="13">
        <f t="shared" si="0"/>
        <v>0</v>
      </c>
      <c r="V22" s="13">
        <f t="shared" si="1"/>
        <v>2.4670893155794715</v>
      </c>
      <c r="W22" s="13">
        <f t="shared" si="2"/>
        <v>2.4670893155794715</v>
      </c>
      <c r="X22" s="13">
        <f t="shared" si="3"/>
        <v>-15.353914279066572</v>
      </c>
      <c r="Z22" t="str">
        <f t="shared" si="4"/>
        <v>14.7777777777778,4.22757485681254E-15</v>
      </c>
      <c r="AA22" t="str">
        <f t="shared" si="5"/>
        <v>14.2801071892117,-2.62162170477987</v>
      </c>
      <c r="AB22" t="str">
        <f t="shared" si="6"/>
        <v>14.2588338384394,-2.70957927924929</v>
      </c>
      <c r="AC22" t="str">
        <f t="shared" si="7"/>
        <v>13.4799930895624,1.35273221201255</v>
      </c>
    </row>
    <row r="23" spans="2:29" x14ac:dyDescent="0.2">
      <c r="B23" s="3">
        <v>21</v>
      </c>
      <c r="C23" s="6">
        <v>15.5555555555556</v>
      </c>
      <c r="D23" s="6">
        <v>4.3228251634128901E-15</v>
      </c>
      <c r="E23" s="8">
        <v>3.14159265358979</v>
      </c>
      <c r="F23" s="7"/>
      <c r="G23" s="10">
        <v>15.057164053896299</v>
      </c>
      <c r="H23" s="10">
        <v>-2.65510155919115</v>
      </c>
      <c r="I23" s="10">
        <v>4.3058831497631803E-2</v>
      </c>
      <c r="K23" s="10">
        <v>15.0358907031241</v>
      </c>
      <c r="L23" s="10">
        <v>-2.7430591336605699</v>
      </c>
      <c r="M23" s="10">
        <v>0.1198150296882</v>
      </c>
      <c r="N23" s="13"/>
      <c r="O23" s="10">
        <v>14.230010960927901</v>
      </c>
      <c r="P23" s="10">
        <v>1.5586726505798201</v>
      </c>
      <c r="Q23" s="10">
        <v>-0.23613999236511601</v>
      </c>
      <c r="R23" s="13"/>
      <c r="S23" s="8">
        <v>3.14159265358979</v>
      </c>
      <c r="T23" s="13"/>
      <c r="U23" s="13">
        <f t="shared" si="0"/>
        <v>0</v>
      </c>
      <c r="V23" s="13">
        <f t="shared" si="1"/>
        <v>2.4670893155794715</v>
      </c>
      <c r="W23" s="13">
        <f t="shared" si="2"/>
        <v>6.8648955233687161</v>
      </c>
      <c r="X23" s="13">
        <f t="shared" si="3"/>
        <v>-13.529824936772428</v>
      </c>
      <c r="Z23" t="str">
        <f t="shared" si="4"/>
        <v>15.5555555555556,4.32282516341289E-15</v>
      </c>
      <c r="AA23" t="str">
        <f t="shared" si="5"/>
        <v>15.0571640538963,-2.65510155919115</v>
      </c>
      <c r="AB23" t="str">
        <f t="shared" si="6"/>
        <v>15.0358907031241,-2.74305913366057</v>
      </c>
      <c r="AC23" t="str">
        <f t="shared" si="7"/>
        <v>14.2300109609279,1.55867265057982</v>
      </c>
    </row>
    <row r="24" spans="2:29" x14ac:dyDescent="0.2">
      <c r="B24" s="3">
        <v>22</v>
      </c>
      <c r="C24" s="6">
        <v>16.3333333333333</v>
      </c>
      <c r="D24" s="6">
        <v>4.4180754700132397E-15</v>
      </c>
      <c r="E24" s="8">
        <v>3.14159265358979</v>
      </c>
      <c r="F24" s="7"/>
      <c r="G24" s="10">
        <v>15.834220918581</v>
      </c>
      <c r="H24" s="10">
        <v>-2.6885814136024302</v>
      </c>
      <c r="I24" s="10">
        <v>0.1198150296882</v>
      </c>
      <c r="K24" s="10">
        <v>15.808092406959499</v>
      </c>
      <c r="L24" s="10">
        <v>-2.8360257954198902</v>
      </c>
      <c r="M24" s="10">
        <v>0.145647799484248</v>
      </c>
      <c r="N24" s="13"/>
      <c r="O24" s="10">
        <v>14.9862040599981</v>
      </c>
      <c r="P24" s="10">
        <v>1.74063492283307</v>
      </c>
      <c r="Q24" s="10">
        <v>-1.2537221556901199</v>
      </c>
      <c r="R24" s="13"/>
      <c r="S24" s="8">
        <v>3.14159265358979</v>
      </c>
      <c r="T24" s="13"/>
      <c r="U24" s="13">
        <f t="shared" si="0"/>
        <v>0</v>
      </c>
      <c r="V24" s="13">
        <f t="shared" si="1"/>
        <v>6.8648955233687161</v>
      </c>
      <c r="W24" s="13">
        <f t="shared" si="2"/>
        <v>8.345004205815286</v>
      </c>
      <c r="X24" s="13">
        <f t="shared" si="3"/>
        <v>-71.832988203087183</v>
      </c>
      <c r="Z24" t="str">
        <f t="shared" si="4"/>
        <v>16.3333333333333,4.41807547001324E-15</v>
      </c>
      <c r="AA24" t="str">
        <f t="shared" si="5"/>
        <v>15.834220918581,-2.68858141360243</v>
      </c>
      <c r="AB24" t="str">
        <f t="shared" si="6"/>
        <v>15.8080924069595,-2.83602579541989</v>
      </c>
      <c r="AC24" t="str">
        <f t="shared" si="7"/>
        <v>14.9862040599981,1.74063492283307</v>
      </c>
    </row>
    <row r="25" spans="2:29" x14ac:dyDescent="0.2">
      <c r="B25" s="3">
        <v>23</v>
      </c>
      <c r="C25" s="6">
        <v>17.1111111111111</v>
      </c>
      <c r="D25" s="6">
        <v>4.51332577661359E-15</v>
      </c>
      <c r="E25" s="8">
        <v>3.14159265358979</v>
      </c>
      <c r="F25" s="7"/>
      <c r="G25" s="10">
        <v>16.6064226224163</v>
      </c>
      <c r="H25" s="10">
        <v>-2.7815480753617399</v>
      </c>
      <c r="I25" s="10">
        <v>0.145647799484248</v>
      </c>
      <c r="K25" s="10">
        <v>16.577635148399601</v>
      </c>
      <c r="L25" s="10">
        <v>-2.9489073293470298</v>
      </c>
      <c r="M25" s="10">
        <v>0.194503235339123</v>
      </c>
      <c r="N25" s="13"/>
      <c r="O25" s="10">
        <v>15.228705773800099</v>
      </c>
      <c r="P25" s="10">
        <v>2.4796418175289401</v>
      </c>
      <c r="Q25" s="10">
        <v>-0.105320958493056</v>
      </c>
      <c r="R25" s="13"/>
      <c r="S25" s="8">
        <v>3.14159265358979</v>
      </c>
      <c r="T25" s="13"/>
      <c r="U25" s="13">
        <f t="shared" si="0"/>
        <v>0</v>
      </c>
      <c r="V25" s="13">
        <f t="shared" si="1"/>
        <v>8.345004205815286</v>
      </c>
      <c r="W25" s="13">
        <f t="shared" si="2"/>
        <v>11.144214486571713</v>
      </c>
      <c r="X25" s="13">
        <f t="shared" si="3"/>
        <v>-6.0344464159244637</v>
      </c>
      <c r="Z25" t="str">
        <f t="shared" si="4"/>
        <v>17.1111111111111,4.51332577661359E-15</v>
      </c>
      <c r="AA25" t="str">
        <f t="shared" si="5"/>
        <v>16.6064226224163,-2.78154807536174</v>
      </c>
      <c r="AB25" t="str">
        <f t="shared" si="6"/>
        <v>16.5776351483996,-2.94890732934703</v>
      </c>
      <c r="AC25" t="str">
        <f t="shared" si="7"/>
        <v>15.2287057738001,2.47964181752894</v>
      </c>
    </row>
    <row r="26" spans="2:29" x14ac:dyDescent="0.2">
      <c r="B26" s="3">
        <v>24</v>
      </c>
      <c r="C26" s="6">
        <v>17.8888888888889</v>
      </c>
      <c r="D26" s="6">
        <v>4.6085760832139404E-15</v>
      </c>
      <c r="E26" s="8">
        <v>3.14159265358979</v>
      </c>
      <c r="F26" s="7"/>
      <c r="G26" s="10">
        <v>17.375965363856501</v>
      </c>
      <c r="H26" s="10">
        <v>-2.8944296092888901</v>
      </c>
      <c r="I26" s="10">
        <v>0.194503235339123</v>
      </c>
      <c r="K26" s="10">
        <v>17.340746996626802</v>
      </c>
      <c r="L26" s="10">
        <v>-3.0992355658835402</v>
      </c>
      <c r="M26" s="10">
        <v>9.6746730025846397E-2</v>
      </c>
      <c r="N26" s="13"/>
      <c r="O26" s="10">
        <v>16.002173785958099</v>
      </c>
      <c r="P26" s="10">
        <v>2.56140675973068</v>
      </c>
      <c r="Q26" s="10">
        <v>-0.26484987774242802</v>
      </c>
      <c r="R26" s="13"/>
      <c r="S26" s="8">
        <v>3.14159265358979</v>
      </c>
      <c r="T26" s="13"/>
      <c r="U26" s="13">
        <f t="shared" si="0"/>
        <v>0</v>
      </c>
      <c r="V26" s="13">
        <f t="shared" si="1"/>
        <v>11.144214486571713</v>
      </c>
      <c r="W26" s="13">
        <f t="shared" si="2"/>
        <v>5.5431793121727821</v>
      </c>
      <c r="X26" s="13">
        <f t="shared" si="3"/>
        <v>-15.174780199196789</v>
      </c>
      <c r="Z26" t="str">
        <f t="shared" si="4"/>
        <v>17.8888888888889,4.60857608321394E-15</v>
      </c>
      <c r="AA26" t="str">
        <f t="shared" si="5"/>
        <v>17.3759653638565,-2.89442960928889</v>
      </c>
      <c r="AB26" t="str">
        <f t="shared" si="6"/>
        <v>17.3407469966268,-3.09923556588354</v>
      </c>
      <c r="AC26" t="str">
        <f t="shared" si="7"/>
        <v>16.0021737859581,2.56140675973068</v>
      </c>
    </row>
    <row r="27" spans="2:29" x14ac:dyDescent="0.2">
      <c r="B27" s="3">
        <v>25</v>
      </c>
      <c r="C27" s="6">
        <v>18.6666666666667</v>
      </c>
      <c r="D27" s="6">
        <v>4.7038263898142899E-15</v>
      </c>
      <c r="E27" s="8">
        <v>3.14159265358979</v>
      </c>
      <c r="F27" s="7"/>
      <c r="G27" s="10">
        <v>18.139077212083698</v>
      </c>
      <c r="H27" s="10">
        <v>-3.0447578458253899</v>
      </c>
      <c r="I27" s="10">
        <v>0.206561453661609</v>
      </c>
      <c r="K27" s="10">
        <v>18.1148876399877</v>
      </c>
      <c r="L27" s="10">
        <v>-3.1743656923422399</v>
      </c>
      <c r="M27" s="10">
        <v>0.206561453661609</v>
      </c>
      <c r="N27" s="13"/>
      <c r="O27" s="10">
        <v>16.752831859171199</v>
      </c>
      <c r="P27" s="10">
        <v>2.7650012801014001</v>
      </c>
      <c r="Q27" s="10">
        <v>-0.125187814621982</v>
      </c>
      <c r="R27" s="13"/>
      <c r="S27" s="8">
        <v>3.14159265358979</v>
      </c>
      <c r="T27" s="13"/>
      <c r="U27" s="13">
        <f t="shared" si="0"/>
        <v>0</v>
      </c>
      <c r="V27" s="13">
        <f t="shared" si="1"/>
        <v>11.835099504897499</v>
      </c>
      <c r="W27" s="13">
        <f t="shared" si="2"/>
        <v>11.835099504897499</v>
      </c>
      <c r="X27" s="13">
        <f t="shared" si="3"/>
        <v>-7.1727334243055338</v>
      </c>
      <c r="Z27" t="str">
        <f t="shared" si="4"/>
        <v>18.6666666666667,4.70382638981429E-15</v>
      </c>
      <c r="AA27" t="str">
        <f t="shared" si="5"/>
        <v>18.1390772120837,-3.04475784582539</v>
      </c>
      <c r="AB27" t="str">
        <f t="shared" si="6"/>
        <v>18.1148876399877,-3.17436569234224</v>
      </c>
      <c r="AC27" t="str">
        <f t="shared" si="7"/>
        <v>16.7528318591712,2.7650012801014</v>
      </c>
    </row>
    <row r="28" spans="2:29" x14ac:dyDescent="0.2">
      <c r="B28" s="3">
        <v>26</v>
      </c>
      <c r="C28" s="6">
        <v>19.4444444444445</v>
      </c>
      <c r="D28" s="6">
        <v>4.7990766964146403E-15</v>
      </c>
      <c r="E28" s="8">
        <v>3.14159265358979</v>
      </c>
      <c r="F28" s="7"/>
      <c r="G28" s="10">
        <v>18.900320935742901</v>
      </c>
      <c r="H28" s="10">
        <v>-3.2042766998657499</v>
      </c>
      <c r="I28" s="10">
        <v>0.206561453661609</v>
      </c>
      <c r="K28" s="10">
        <v>18.876131363647001</v>
      </c>
      <c r="L28" s="10">
        <v>-3.3338845463825901</v>
      </c>
      <c r="M28" s="10">
        <v>0.27085443394646203</v>
      </c>
      <c r="N28" s="13"/>
      <c r="O28" s="10">
        <v>17.524522930053799</v>
      </c>
      <c r="P28" s="10">
        <v>2.86211545375753</v>
      </c>
      <c r="Q28" s="10">
        <v>-3.9244238647546503E-2</v>
      </c>
      <c r="R28" s="13"/>
      <c r="S28" s="8">
        <v>3.14159265358979</v>
      </c>
      <c r="T28" s="13"/>
      <c r="U28" s="13">
        <f t="shared" si="0"/>
        <v>0</v>
      </c>
      <c r="V28" s="13">
        <f t="shared" si="1"/>
        <v>11.835099504897499</v>
      </c>
      <c r="W28" s="13">
        <f t="shared" si="2"/>
        <v>15.518815927537389</v>
      </c>
      <c r="X28" s="13">
        <f t="shared" si="3"/>
        <v>-2.2485292447084362</v>
      </c>
      <c r="Z28" t="str">
        <f t="shared" si="4"/>
        <v>19.4444444444445,4.79907669641464E-15</v>
      </c>
      <c r="AA28" t="str">
        <f t="shared" si="5"/>
        <v>18.9003209357429,-3.20427669986575</v>
      </c>
      <c r="AB28" t="str">
        <f t="shared" si="6"/>
        <v>18.876131363647,-3.33388454638259</v>
      </c>
      <c r="AC28" t="str">
        <f t="shared" si="7"/>
        <v>17.5245229300538,2.86211545375753</v>
      </c>
    </row>
    <row r="29" spans="2:29" x14ac:dyDescent="0.2">
      <c r="B29" s="3">
        <v>27</v>
      </c>
      <c r="C29" s="6">
        <v>20.2222222222222</v>
      </c>
      <c r="D29" s="6">
        <v>4.8943270030149898E-15</v>
      </c>
      <c r="E29" s="8">
        <v>3.14159265358979</v>
      </c>
      <c r="F29" s="7"/>
      <c r="G29" s="10">
        <v>19.661564659402199</v>
      </c>
      <c r="H29" s="10">
        <v>-3.3637955539061002</v>
      </c>
      <c r="I29" s="10">
        <v>-4.05163099304926E-2</v>
      </c>
      <c r="K29" s="10">
        <v>19.625553417132402</v>
      </c>
      <c r="L29" s="10">
        <v>-3.5419827380005202</v>
      </c>
      <c r="M29" s="10">
        <v>-4.05163099304926E-2</v>
      </c>
      <c r="N29" s="13"/>
      <c r="O29" s="10">
        <v>18.3017018529256</v>
      </c>
      <c r="P29" s="10">
        <v>2.89263091621293</v>
      </c>
      <c r="Q29" s="10">
        <v>-1.45721722076367</v>
      </c>
      <c r="R29" s="13"/>
      <c r="S29" s="8">
        <v>3.14159265358979</v>
      </c>
      <c r="T29" s="13"/>
      <c r="U29" s="13">
        <f t="shared" si="0"/>
        <v>0</v>
      </c>
      <c r="V29" s="13">
        <f t="shared" si="1"/>
        <v>-2.3214135604610249</v>
      </c>
      <c r="W29" s="13">
        <f t="shared" si="2"/>
        <v>-2.3214135604610249</v>
      </c>
      <c r="X29" s="13">
        <f t="shared" si="3"/>
        <v>-83.492396583541677</v>
      </c>
      <c r="Z29" t="str">
        <f t="shared" si="4"/>
        <v>20.2222222222222,4.89432700301499E-15</v>
      </c>
      <c r="AA29" t="str">
        <f t="shared" si="5"/>
        <v>19.6615646594022,-3.3637955539061</v>
      </c>
      <c r="AB29" t="str">
        <f t="shared" si="6"/>
        <v>19.6255534171324,-3.54198273800052</v>
      </c>
      <c r="AC29" t="str">
        <f t="shared" si="7"/>
        <v>18.3017018529256,2.89263091621293</v>
      </c>
    </row>
    <row r="30" spans="2:29" x14ac:dyDescent="0.2">
      <c r="B30" s="3">
        <v>28</v>
      </c>
      <c r="C30" s="6">
        <v>21</v>
      </c>
      <c r="D30" s="6">
        <v>4.9895773096153402E-15</v>
      </c>
      <c r="E30" s="8">
        <v>3.14159265358979</v>
      </c>
      <c r="F30" s="7"/>
      <c r="G30" s="10">
        <v>20.438704135639</v>
      </c>
      <c r="H30" s="10">
        <v>-3.3322914894173699</v>
      </c>
      <c r="I30" s="10">
        <v>-4.05163099304926E-2</v>
      </c>
      <c r="K30" s="10">
        <v>20.402692893369199</v>
      </c>
      <c r="L30" s="10">
        <v>-3.5104786735117801</v>
      </c>
      <c r="M30" s="10">
        <v>-2.9431250412218699E-2</v>
      </c>
      <c r="N30" s="13"/>
      <c r="O30" s="10">
        <v>18.3898513474415</v>
      </c>
      <c r="P30" s="10">
        <v>3.6653973351400899</v>
      </c>
      <c r="Q30" s="10">
        <v>-0.91828692887972496</v>
      </c>
      <c r="R30" s="13"/>
      <c r="S30" s="8">
        <v>3.14159265358979</v>
      </c>
      <c r="T30" s="13"/>
      <c r="U30" s="13">
        <f t="shared" si="0"/>
        <v>0</v>
      </c>
      <c r="V30" s="13">
        <f t="shared" si="1"/>
        <v>-2.3214135604610249</v>
      </c>
      <c r="W30" s="13">
        <f t="shared" si="2"/>
        <v>-1.6862864344126081</v>
      </c>
      <c r="X30" s="13">
        <f t="shared" si="3"/>
        <v>-52.613965406838048</v>
      </c>
      <c r="Z30" t="str">
        <f t="shared" si="4"/>
        <v>21,4.98957730961534E-15</v>
      </c>
      <c r="AA30" t="str">
        <f t="shared" si="5"/>
        <v>20.438704135639,-3.33229148941737</v>
      </c>
      <c r="AB30" t="str">
        <f t="shared" si="6"/>
        <v>20.4026928933692,-3.51047867351178</v>
      </c>
      <c r="AC30" t="str">
        <f t="shared" si="7"/>
        <v>18.3898513474415,3.66539733514009</v>
      </c>
    </row>
    <row r="31" spans="2:29" x14ac:dyDescent="0.2">
      <c r="B31" s="3">
        <v>29</v>
      </c>
      <c r="C31" s="6">
        <v>21.7777777777778</v>
      </c>
      <c r="D31" s="6">
        <v>5.0848276162156897E-15</v>
      </c>
      <c r="E31" s="8">
        <v>3.14159265358979</v>
      </c>
      <c r="F31" s="7"/>
      <c r="G31" s="10">
        <v>21.215843611875801</v>
      </c>
      <c r="H31" s="10">
        <v>-3.3007874249286302</v>
      </c>
      <c r="I31" s="10">
        <v>0.20466249403211401</v>
      </c>
      <c r="K31" s="10">
        <v>21.180133840488999</v>
      </c>
      <c r="L31" s="10">
        <v>-3.4875910055135102</v>
      </c>
      <c r="M31" s="10">
        <v>0.20466249403211401</v>
      </c>
      <c r="N31" s="13"/>
      <c r="O31" s="10">
        <v>18.862104161272999</v>
      </c>
      <c r="P31" s="10">
        <v>4.2833904996922803</v>
      </c>
      <c r="Q31" s="10">
        <v>7.61879310470331E-2</v>
      </c>
      <c r="R31" s="13"/>
      <c r="S31" s="8">
        <v>3.14159265358979</v>
      </c>
      <c r="T31" s="13"/>
      <c r="U31" s="13">
        <f t="shared" si="0"/>
        <v>0</v>
      </c>
      <c r="V31" s="13">
        <f t="shared" si="1"/>
        <v>11.726297132661728</v>
      </c>
      <c r="W31" s="13">
        <f t="shared" si="2"/>
        <v>11.726297132661728</v>
      </c>
      <c r="X31" s="13">
        <f t="shared" si="3"/>
        <v>4.3652468988289002</v>
      </c>
      <c r="Z31" t="str">
        <f t="shared" si="4"/>
        <v>21.7777777777778,5.08482761621569E-15</v>
      </c>
      <c r="AA31" t="str">
        <f t="shared" si="5"/>
        <v>21.2158436118758,-3.30078742492863</v>
      </c>
      <c r="AB31" t="str">
        <f t="shared" si="6"/>
        <v>21.180133840489,-3.48759100551351</v>
      </c>
      <c r="AC31" t="str">
        <f t="shared" si="7"/>
        <v>18.862104161273,4.28339049969228</v>
      </c>
    </row>
    <row r="32" spans="2:29" x14ac:dyDescent="0.2">
      <c r="B32" s="3">
        <v>30</v>
      </c>
      <c r="C32" s="6">
        <v>22.5555555555556</v>
      </c>
      <c r="D32" s="6">
        <v>5.1800779228160298E-15</v>
      </c>
      <c r="E32" s="8">
        <v>3.14159265358979</v>
      </c>
      <c r="F32" s="7"/>
      <c r="G32" s="10">
        <v>21.977388882676799</v>
      </c>
      <c r="H32" s="10">
        <v>-3.4588604211221399</v>
      </c>
      <c r="I32" s="10">
        <v>-0.127537074581657</v>
      </c>
      <c r="K32" s="10">
        <v>21.94167911129</v>
      </c>
      <c r="L32" s="10">
        <v>-3.6456640017070199</v>
      </c>
      <c r="M32" s="10">
        <v>-0.127537074581657</v>
      </c>
      <c r="N32" s="13"/>
      <c r="O32" s="10">
        <v>19.637625685984901</v>
      </c>
      <c r="P32" s="10">
        <v>4.2241905308290697</v>
      </c>
      <c r="Q32" s="10">
        <v>-0.82161725996766399</v>
      </c>
      <c r="R32" s="13"/>
      <c r="S32" s="8">
        <v>3.14159265358979</v>
      </c>
      <c r="T32" s="13"/>
      <c r="U32" s="13">
        <f t="shared" si="0"/>
        <v>0</v>
      </c>
      <c r="V32" s="13">
        <f t="shared" si="1"/>
        <v>-7.3073361049739844</v>
      </c>
      <c r="W32" s="13">
        <f t="shared" si="2"/>
        <v>-7.3073361049739844</v>
      </c>
      <c r="X32" s="13">
        <f t="shared" si="3"/>
        <v>-47.07520137124996</v>
      </c>
      <c r="Z32" t="str">
        <f t="shared" si="4"/>
        <v>22.5555555555556,5.18007792281603E-15</v>
      </c>
      <c r="AA32" t="str">
        <f t="shared" si="5"/>
        <v>21.9773888826768,-3.45886042112214</v>
      </c>
      <c r="AB32" t="str">
        <f t="shared" si="6"/>
        <v>21.94167911129,-3.64566400170702</v>
      </c>
      <c r="AC32" t="str">
        <f t="shared" si="7"/>
        <v>19.6376256859849,4.22419053082907</v>
      </c>
    </row>
    <row r="33" spans="2:29" x14ac:dyDescent="0.2">
      <c r="B33" s="3">
        <v>31</v>
      </c>
      <c r="C33" s="6">
        <v>23.3333333333333</v>
      </c>
      <c r="D33" s="6">
        <v>7.6931472608222799E-15</v>
      </c>
      <c r="E33" s="8">
        <v>3.14159265358979</v>
      </c>
      <c r="F33" s="7"/>
      <c r="G33" s="10">
        <v>22.7488496778405</v>
      </c>
      <c r="H33" s="10">
        <v>-3.3599336141870402</v>
      </c>
      <c r="I33" s="10">
        <v>0.208602895732972</v>
      </c>
      <c r="K33" s="10">
        <v>22.713139906453701</v>
      </c>
      <c r="L33" s="10">
        <v>-3.5467371947719202</v>
      </c>
      <c r="M33" s="10">
        <v>0.208602895732972</v>
      </c>
      <c r="N33" s="13"/>
      <c r="O33" s="10">
        <v>20.167321801447301</v>
      </c>
      <c r="P33" s="10">
        <v>4.7937169102611197</v>
      </c>
      <c r="Q33" s="10">
        <v>-5.5886573133153303E-2</v>
      </c>
      <c r="R33" s="13"/>
      <c r="S33" s="8">
        <v>3.14159265358979</v>
      </c>
      <c r="T33" s="13"/>
      <c r="U33" s="13">
        <f t="shared" si="0"/>
        <v>0</v>
      </c>
      <c r="V33" s="13">
        <f t="shared" si="1"/>
        <v>11.952065519707048</v>
      </c>
      <c r="W33" s="13">
        <f t="shared" si="2"/>
        <v>11.952065519707048</v>
      </c>
      <c r="X33" s="13">
        <f t="shared" si="3"/>
        <v>-3.2020647719787405</v>
      </c>
      <c r="Z33" t="str">
        <f t="shared" si="4"/>
        <v>23.3333333333333,7.69314726082228E-15</v>
      </c>
      <c r="AA33" t="str">
        <f t="shared" si="5"/>
        <v>22.7488496778405,-3.35993361418704</v>
      </c>
      <c r="AB33" t="str">
        <f t="shared" si="6"/>
        <v>22.7131399064537,-3.54673719477192</v>
      </c>
      <c r="AC33" t="str">
        <f t="shared" si="7"/>
        <v>20.1673218014473,4.79371691026112</v>
      </c>
    </row>
    <row r="34" spans="2:29" x14ac:dyDescent="0.2">
      <c r="B34" s="3">
        <v>32</v>
      </c>
      <c r="C34" s="6">
        <v>24.1111111111111</v>
      </c>
      <c r="D34" s="6">
        <v>7.7883975674226295E-15</v>
      </c>
      <c r="E34" s="8">
        <v>3.14159265358979</v>
      </c>
      <c r="F34" s="7"/>
      <c r="G34" s="10">
        <v>23.509766166990399</v>
      </c>
      <c r="H34" s="10">
        <v>-3.5210061697158799</v>
      </c>
      <c r="I34" s="10">
        <v>1.0755475596798699E-2</v>
      </c>
      <c r="K34" s="10">
        <v>23.474056395603601</v>
      </c>
      <c r="L34" s="10">
        <v>-3.7078097503007599</v>
      </c>
      <c r="M34" s="10">
        <v>1.0755475596798699E-2</v>
      </c>
      <c r="N34" s="13"/>
      <c r="O34" s="10">
        <v>20.943885275139699</v>
      </c>
      <c r="P34" s="10">
        <v>4.83716162146687</v>
      </c>
      <c r="Q34" s="10">
        <v>-0.35300557143255801</v>
      </c>
      <c r="R34" s="13"/>
      <c r="S34" s="8">
        <v>3.14159265358979</v>
      </c>
      <c r="T34" s="13"/>
      <c r="U34" s="13">
        <f t="shared" si="0"/>
        <v>0</v>
      </c>
      <c r="V34" s="13">
        <f t="shared" si="1"/>
        <v>0.61624335835270472</v>
      </c>
      <c r="W34" s="13">
        <f t="shared" si="2"/>
        <v>0.61624335835270472</v>
      </c>
      <c r="X34" s="13">
        <f t="shared" si="3"/>
        <v>-20.225729387689313</v>
      </c>
      <c r="Z34" t="str">
        <f t="shared" si="4"/>
        <v>24.1111111111111,7.78839756742263E-15</v>
      </c>
      <c r="AA34" t="str">
        <f t="shared" si="5"/>
        <v>23.5097661669904,-3.52100616971588</v>
      </c>
      <c r="AB34" t="str">
        <f t="shared" si="6"/>
        <v>23.4740563956036,-3.70780975030076</v>
      </c>
      <c r="AC34" t="str">
        <f t="shared" si="7"/>
        <v>20.9438852751397,4.83716162146687</v>
      </c>
    </row>
    <row r="35" spans="2:29" x14ac:dyDescent="0.2">
      <c r="B35" s="3">
        <v>33</v>
      </c>
      <c r="C35" s="6">
        <v>24.8888888888889</v>
      </c>
      <c r="D35" s="6">
        <v>7.8836478740229806E-15</v>
      </c>
      <c r="E35" s="8">
        <v>3.14159265358979</v>
      </c>
      <c r="F35" s="7"/>
      <c r="G35" s="10">
        <v>24.287498958435901</v>
      </c>
      <c r="H35" s="10">
        <v>-3.5293713783407399</v>
      </c>
      <c r="I35" s="10">
        <v>0.164395863447964</v>
      </c>
      <c r="K35" s="10">
        <v>24.251789187049098</v>
      </c>
      <c r="L35" s="10">
        <v>-3.7161749589256199</v>
      </c>
      <c r="M35" s="10">
        <v>0.164395863447964</v>
      </c>
      <c r="N35" s="13"/>
      <c r="O35" s="10">
        <v>21.673703616649199</v>
      </c>
      <c r="P35" s="10">
        <v>5.10605464852636</v>
      </c>
      <c r="Q35" s="10">
        <v>-9.8647790636235896E-2</v>
      </c>
      <c r="R35" s="13"/>
      <c r="S35" s="8">
        <v>3.14159265358979</v>
      </c>
      <c r="T35" s="13"/>
      <c r="U35" s="13">
        <f t="shared" si="0"/>
        <v>0</v>
      </c>
      <c r="V35" s="13">
        <f t="shared" si="1"/>
        <v>9.4191891449775085</v>
      </c>
      <c r="W35" s="13">
        <f t="shared" si="2"/>
        <v>9.4191891449775085</v>
      </c>
      <c r="X35" s="13">
        <f t="shared" si="3"/>
        <v>-5.6521020617462909</v>
      </c>
      <c r="Z35" t="str">
        <f t="shared" si="4"/>
        <v>24.8888888888889,7.88364787402298E-15</v>
      </c>
      <c r="AA35" t="str">
        <f t="shared" si="5"/>
        <v>24.2874989584359,-3.52937137834074</v>
      </c>
      <c r="AB35" t="str">
        <f t="shared" si="6"/>
        <v>24.2517891870491,-3.71617495892562</v>
      </c>
      <c r="AC35" t="str">
        <f t="shared" si="7"/>
        <v>21.6737036166492,5.10605464852636</v>
      </c>
    </row>
    <row r="36" spans="2:29" x14ac:dyDescent="0.2">
      <c r="B36" s="3">
        <v>34</v>
      </c>
      <c r="C36" s="6">
        <v>25.6666666666667</v>
      </c>
      <c r="D36" s="6">
        <v>7.9788981806233302E-15</v>
      </c>
      <c r="E36" s="8">
        <v>3.14159265358979</v>
      </c>
      <c r="F36" s="7"/>
      <c r="G36" s="10">
        <v>25.054790274342299</v>
      </c>
      <c r="H36" s="10">
        <v>-3.65665966586044</v>
      </c>
      <c r="I36" s="10">
        <v>0.164395863447964</v>
      </c>
      <c r="K36" s="10">
        <v>25.0190805029555</v>
      </c>
      <c r="L36" s="10">
        <v>-3.84346324644532</v>
      </c>
      <c r="M36" s="10">
        <v>0.158086983364188</v>
      </c>
      <c r="N36" s="13"/>
      <c r="O36" s="10">
        <v>22.4477000342882</v>
      </c>
      <c r="P36" s="10">
        <v>5.1826563266213199</v>
      </c>
      <c r="Q36" s="10">
        <v>-7.1172841517546798E-2</v>
      </c>
      <c r="R36" s="13"/>
      <c r="S36" s="8">
        <v>3.14159265358979</v>
      </c>
      <c r="T36" s="13"/>
      <c r="U36" s="13">
        <f t="shared" si="0"/>
        <v>0</v>
      </c>
      <c r="V36" s="13">
        <f t="shared" si="1"/>
        <v>9.4191891449775085</v>
      </c>
      <c r="W36" s="13">
        <f t="shared" si="2"/>
        <v>9.0577169427230046</v>
      </c>
      <c r="X36" s="13">
        <f t="shared" si="3"/>
        <v>-4.0779034349087624</v>
      </c>
      <c r="Z36" t="str">
        <f t="shared" si="4"/>
        <v>25.6666666666667,7.97889818062333E-15</v>
      </c>
      <c r="AA36" t="str">
        <f t="shared" si="5"/>
        <v>25.0547902743423,-3.65665966586044</v>
      </c>
      <c r="AB36" t="str">
        <f t="shared" si="6"/>
        <v>25.0190805029555,-3.84346324644532</v>
      </c>
      <c r="AC36" t="str">
        <f t="shared" si="7"/>
        <v>22.4477000342882,5.18265632662132</v>
      </c>
    </row>
    <row r="37" spans="2:29" x14ac:dyDescent="0.2">
      <c r="B37" s="3">
        <v>35</v>
      </c>
      <c r="C37" s="6">
        <v>26.4444444444445</v>
      </c>
      <c r="D37" s="6">
        <v>8.0741484872236797E-15</v>
      </c>
      <c r="E37" s="8">
        <v>3.14159265358979</v>
      </c>
      <c r="F37" s="7"/>
      <c r="G37" s="10">
        <v>25.822081590248601</v>
      </c>
      <c r="H37" s="10">
        <v>-3.7839479533801401</v>
      </c>
      <c r="I37" s="10">
        <v>-4.8872217005401702E-2</v>
      </c>
      <c r="K37" s="10">
        <v>25.787159590275099</v>
      </c>
      <c r="L37" s="10">
        <v>-3.9659082840217001</v>
      </c>
      <c r="M37" s="10">
        <v>-4.8872217005401702E-2</v>
      </c>
      <c r="N37" s="13"/>
      <c r="O37" s="10">
        <v>23.223508698301401</v>
      </c>
      <c r="P37" s="10">
        <v>5.2379662574381696</v>
      </c>
      <c r="Q37" s="10">
        <v>-0.422656885059912</v>
      </c>
      <c r="R37" s="13"/>
      <c r="S37" s="8">
        <v>3.14159265358979</v>
      </c>
      <c r="T37" s="13"/>
      <c r="U37" s="13">
        <f t="shared" si="0"/>
        <v>0</v>
      </c>
      <c r="V37" s="13">
        <f t="shared" si="1"/>
        <v>-2.8001717698568314</v>
      </c>
      <c r="W37" s="13">
        <f t="shared" si="2"/>
        <v>-2.8001717698568314</v>
      </c>
      <c r="X37" s="13">
        <f t="shared" si="3"/>
        <v>-24.216455696078725</v>
      </c>
      <c r="Z37" t="str">
        <f t="shared" si="4"/>
        <v>26.4444444444445,8.07414848722368E-15</v>
      </c>
      <c r="AA37" t="str">
        <f t="shared" si="5"/>
        <v>25.8220815902486,-3.78394795338014</v>
      </c>
      <c r="AB37" t="str">
        <f t="shared" si="6"/>
        <v>25.7871595902751,-3.9659082840217</v>
      </c>
      <c r="AC37" t="str">
        <f t="shared" si="7"/>
        <v>23.2235086983014,5.23796625743817</v>
      </c>
    </row>
    <row r="38" spans="2:29" x14ac:dyDescent="0.2">
      <c r="B38" s="3">
        <v>36</v>
      </c>
      <c r="C38" s="6">
        <v>27.2222222222222</v>
      </c>
      <c r="D38" s="6">
        <v>8.1693987938240293E-15</v>
      </c>
      <c r="E38" s="8">
        <v>3.14159265358979</v>
      </c>
      <c r="F38" s="7"/>
      <c r="G38" s="10">
        <v>26.598930694272401</v>
      </c>
      <c r="H38" s="10">
        <v>-3.7459513590289499</v>
      </c>
      <c r="I38" s="10">
        <v>-0.322246701155324</v>
      </c>
      <c r="K38" s="10">
        <v>26.564008694299002</v>
      </c>
      <c r="L38" s="10">
        <v>-3.92791168967051</v>
      </c>
      <c r="M38" s="10">
        <v>-0.322246701155324</v>
      </c>
      <c r="N38" s="13"/>
      <c r="O38" s="10">
        <v>23.9328438564322</v>
      </c>
      <c r="P38" s="10">
        <v>5.5569990222829198</v>
      </c>
      <c r="Q38" s="10">
        <v>-1.00911650230601</v>
      </c>
      <c r="R38" s="13"/>
      <c r="S38" s="8">
        <v>3.14159265358979</v>
      </c>
      <c r="T38" s="13"/>
      <c r="U38" s="13">
        <f t="shared" si="0"/>
        <v>0</v>
      </c>
      <c r="V38" s="13">
        <f t="shared" si="1"/>
        <v>-18.463375938213375</v>
      </c>
      <c r="W38" s="13">
        <f t="shared" si="2"/>
        <v>-18.463375938213375</v>
      </c>
      <c r="X38" s="13">
        <f t="shared" si="3"/>
        <v>-57.818116619137811</v>
      </c>
      <c r="Z38" t="str">
        <f t="shared" si="4"/>
        <v>27.2222222222222,8.16939879382403E-15</v>
      </c>
      <c r="AA38" t="str">
        <f t="shared" si="5"/>
        <v>26.5989306942724,-3.74595135902895</v>
      </c>
      <c r="AB38" t="str">
        <f t="shared" si="6"/>
        <v>26.564008694299,-3.92791168967051</v>
      </c>
      <c r="AC38" t="str">
        <f t="shared" si="7"/>
        <v>23.9328438564322,5.55699902228292</v>
      </c>
    </row>
    <row r="39" spans="2:29" x14ac:dyDescent="0.2">
      <c r="B39" s="3">
        <v>37</v>
      </c>
      <c r="C39" s="6">
        <v>28</v>
      </c>
      <c r="D39" s="6">
        <v>1.06824681318303E-14</v>
      </c>
      <c r="E39" s="8">
        <v>3.14159265358979</v>
      </c>
      <c r="F39" s="7"/>
      <c r="G39" s="10">
        <v>27.336673361092199</v>
      </c>
      <c r="H39" s="10">
        <v>-3.49963037096949</v>
      </c>
      <c r="I39" s="10">
        <v>0.19604477009587801</v>
      </c>
      <c r="K39" s="10">
        <v>27.3017513611188</v>
      </c>
      <c r="L39" s="10">
        <v>-3.6815907016110501</v>
      </c>
      <c r="M39" s="10">
        <v>0.19604477009587801</v>
      </c>
      <c r="N39" s="13"/>
      <c r="O39" s="10">
        <v>24.3470950579628</v>
      </c>
      <c r="P39" s="10">
        <v>6.2152802795243796</v>
      </c>
      <c r="Q39" s="10">
        <v>-2.5290416609184001E-2</v>
      </c>
      <c r="R39" s="13"/>
      <c r="S39" s="8">
        <v>3.14159265358979</v>
      </c>
      <c r="T39" s="13"/>
      <c r="U39" s="13">
        <f t="shared" si="0"/>
        <v>0</v>
      </c>
      <c r="V39" s="13">
        <f t="shared" si="1"/>
        <v>11.232537922106502</v>
      </c>
      <c r="W39" s="13">
        <f t="shared" si="2"/>
        <v>11.232537922106502</v>
      </c>
      <c r="X39" s="13">
        <f t="shared" si="3"/>
        <v>-1.449034133833635</v>
      </c>
      <c r="Z39" t="str">
        <f t="shared" si="4"/>
        <v>28,1.06824681318303E-14</v>
      </c>
      <c r="AA39" t="str">
        <f t="shared" si="5"/>
        <v>27.3366733610922,-3.49963037096949</v>
      </c>
      <c r="AB39" t="str">
        <f t="shared" si="6"/>
        <v>27.3017513611188,-3.68159070161105</v>
      </c>
      <c r="AC39" t="str">
        <f t="shared" si="7"/>
        <v>24.3470950579628,6.21528027952438</v>
      </c>
    </row>
    <row r="40" spans="2:29" x14ac:dyDescent="0.2">
      <c r="B40" s="3">
        <v>38</v>
      </c>
      <c r="C40" s="6">
        <v>28.7777777777778</v>
      </c>
      <c r="D40" s="6">
        <v>1.07777184384306E-14</v>
      </c>
      <c r="E40" s="8">
        <v>3.14159265358979</v>
      </c>
      <c r="F40" s="7"/>
      <c r="G40" s="10">
        <v>28.099552566507299</v>
      </c>
      <c r="H40" s="10">
        <v>-3.6511347918627499</v>
      </c>
      <c r="I40" s="10">
        <v>-0.132077196779046</v>
      </c>
      <c r="K40" s="10">
        <v>28.064630566533801</v>
      </c>
      <c r="L40" s="10">
        <v>-3.8330951225043099</v>
      </c>
      <c r="M40" s="10">
        <v>-0.132077196779046</v>
      </c>
      <c r="N40" s="13"/>
      <c r="O40" s="10">
        <v>25.124624113653201</v>
      </c>
      <c r="P40" s="10">
        <v>6.23494850674731</v>
      </c>
      <c r="Q40" s="10">
        <v>-0.42418669164525902</v>
      </c>
      <c r="R40" s="13"/>
      <c r="S40" s="8">
        <v>3.14159265358979</v>
      </c>
      <c r="T40" s="13"/>
      <c r="U40" s="13">
        <f t="shared" si="0"/>
        <v>0</v>
      </c>
      <c r="V40" s="13">
        <f t="shared" si="1"/>
        <v>-7.5674659453580375</v>
      </c>
      <c r="W40" s="13">
        <f t="shared" si="2"/>
        <v>-7.5674659453580375</v>
      </c>
      <c r="X40" s="13">
        <f t="shared" si="3"/>
        <v>-24.304107156890439</v>
      </c>
      <c r="Z40" t="str">
        <f t="shared" si="4"/>
        <v>28.7777777777778,1.07777184384306E-14</v>
      </c>
      <c r="AA40" t="str">
        <f t="shared" si="5"/>
        <v>28.0995525665073,-3.65113479186275</v>
      </c>
      <c r="AB40" t="str">
        <f t="shared" si="6"/>
        <v>28.0646305665338,-3.83309512250431</v>
      </c>
      <c r="AC40" t="str">
        <f t="shared" si="7"/>
        <v>25.1246241136532,6.23494850674731</v>
      </c>
    </row>
    <row r="41" spans="2:29" x14ac:dyDescent="0.2">
      <c r="B41" s="3">
        <v>39</v>
      </c>
      <c r="C41" s="6">
        <v>29.5555555555556</v>
      </c>
      <c r="D41" s="6">
        <v>1.0872968745031001E-14</v>
      </c>
      <c r="E41" s="8">
        <v>3.14159265358979</v>
      </c>
      <c r="F41" s="7"/>
      <c r="G41" s="10">
        <v>28.870556272486802</v>
      </c>
      <c r="H41" s="10">
        <v>-3.54870649025289</v>
      </c>
      <c r="I41" s="10">
        <v>-0.132077196779046</v>
      </c>
      <c r="K41" s="10">
        <v>28.835634272513399</v>
      </c>
      <c r="L41" s="10">
        <v>-3.73066682089445</v>
      </c>
      <c r="M41" s="10">
        <v>-0.118544325523277</v>
      </c>
      <c r="N41" s="13"/>
      <c r="O41" s="10">
        <v>25.833470383518499</v>
      </c>
      <c r="P41" s="10">
        <v>6.5550660434474999</v>
      </c>
      <c r="Q41" s="10">
        <v>-0.45580183421887699</v>
      </c>
      <c r="R41" s="13"/>
      <c r="S41" s="8">
        <v>3.14159265358979</v>
      </c>
      <c r="T41" s="13"/>
      <c r="U41" s="13">
        <f t="shared" si="0"/>
        <v>0</v>
      </c>
      <c r="V41" s="13">
        <f t="shared" si="1"/>
        <v>-7.5674659453580375</v>
      </c>
      <c r="W41" s="13">
        <f t="shared" si="2"/>
        <v>-6.7920895377085628</v>
      </c>
      <c r="X41" s="13">
        <f t="shared" si="3"/>
        <v>-26.11552139506307</v>
      </c>
      <c r="Z41" t="str">
        <f t="shared" si="4"/>
        <v>29.5555555555556,1.0872968745031E-14</v>
      </c>
      <c r="AA41" t="str">
        <f t="shared" si="5"/>
        <v>28.8705562724868,-3.54870649025289</v>
      </c>
      <c r="AB41" t="str">
        <f t="shared" si="6"/>
        <v>28.8356342725134,-3.73066682089445</v>
      </c>
      <c r="AC41" t="str">
        <f t="shared" si="7"/>
        <v>25.8334703835185,6.5550660434475</v>
      </c>
    </row>
    <row r="42" spans="2:29" x14ac:dyDescent="0.2">
      <c r="B42" s="3">
        <v>40</v>
      </c>
      <c r="C42" s="6">
        <v>30.3333333333334</v>
      </c>
      <c r="D42" s="6">
        <v>1.09682190516313E-14</v>
      </c>
      <c r="E42" s="8">
        <v>3.14159265358979</v>
      </c>
      <c r="F42" s="7"/>
      <c r="G42" s="10">
        <v>29.6415599784664</v>
      </c>
      <c r="H42" s="10">
        <v>-3.4462781886430198</v>
      </c>
      <c r="I42" s="10">
        <v>0.10025827091386801</v>
      </c>
      <c r="K42" s="10">
        <v>29.607953486008601</v>
      </c>
      <c r="L42" s="10">
        <v>-3.6386814738484099</v>
      </c>
      <c r="M42" s="10">
        <v>0.10025827091386801</v>
      </c>
      <c r="N42" s="13"/>
      <c r="O42" s="10">
        <v>26.531843555154602</v>
      </c>
      <c r="P42" s="10">
        <v>6.8974301548025201</v>
      </c>
      <c r="Q42" s="10">
        <v>-0.18697911835206099</v>
      </c>
      <c r="R42" s="13"/>
      <c r="S42" s="8">
        <v>3.14159265358979</v>
      </c>
      <c r="T42" s="13"/>
      <c r="U42" s="13">
        <f t="shared" si="0"/>
        <v>0</v>
      </c>
      <c r="V42" s="13">
        <f t="shared" si="1"/>
        <v>5.7443757846440064</v>
      </c>
      <c r="W42" s="13">
        <f t="shared" si="2"/>
        <v>5.7443757846440064</v>
      </c>
      <c r="X42" s="13">
        <f t="shared" si="3"/>
        <v>-10.71311433865003</v>
      </c>
      <c r="Z42" t="str">
        <f t="shared" si="4"/>
        <v>30.3333333333334,1.09682190516313E-14</v>
      </c>
      <c r="AA42" t="str">
        <f t="shared" si="5"/>
        <v>29.6415599784664,-3.44627818864302</v>
      </c>
      <c r="AB42" t="str">
        <f t="shared" si="6"/>
        <v>29.6079534860086,-3.63868147384841</v>
      </c>
      <c r="AC42" t="str">
        <f t="shared" si="7"/>
        <v>26.5318435551546,6.89743015480252</v>
      </c>
    </row>
    <row r="43" spans="2:29" x14ac:dyDescent="0.2">
      <c r="B43" s="3">
        <v>41</v>
      </c>
      <c r="C43" s="6">
        <v>31.1111111111111</v>
      </c>
      <c r="D43" s="6">
        <v>1.10634693582317E-14</v>
      </c>
      <c r="E43" s="8">
        <v>3.14159265358979</v>
      </c>
      <c r="F43" s="7"/>
      <c r="G43" s="10">
        <v>30.4154320269305</v>
      </c>
      <c r="H43" s="10">
        <v>-3.5241262728258902</v>
      </c>
      <c r="I43" s="10">
        <v>0.10025827091386801</v>
      </c>
      <c r="K43" s="10">
        <v>30.3818255344727</v>
      </c>
      <c r="L43" s="10">
        <v>-3.7165295580312798</v>
      </c>
      <c r="M43" s="10">
        <v>0.17344786390271999</v>
      </c>
      <c r="N43" s="13"/>
      <c r="O43" s="10">
        <v>27.296064879277299</v>
      </c>
      <c r="P43" s="10">
        <v>7.04201244749789</v>
      </c>
      <c r="Q43" s="10">
        <v>-5.1963170506507103E-2</v>
      </c>
      <c r="R43" s="13"/>
      <c r="S43" s="8">
        <v>3.14159265358979</v>
      </c>
      <c r="T43" s="13"/>
      <c r="U43" s="13">
        <f t="shared" si="0"/>
        <v>0</v>
      </c>
      <c r="V43" s="13">
        <f t="shared" si="1"/>
        <v>5.7443757846440064</v>
      </c>
      <c r="W43" s="13">
        <f t="shared" si="2"/>
        <v>9.9378305671855571</v>
      </c>
      <c r="X43" s="13">
        <f t="shared" si="3"/>
        <v>-2.9772703601413468</v>
      </c>
      <c r="Z43" t="str">
        <f t="shared" si="4"/>
        <v>31.1111111111111,1.10634693582317E-14</v>
      </c>
      <c r="AA43" t="str">
        <f t="shared" si="5"/>
        <v>30.4154320269305,-3.52412627282589</v>
      </c>
      <c r="AB43" t="str">
        <f t="shared" si="6"/>
        <v>30.3818255344727,-3.71652955803128</v>
      </c>
      <c r="AC43" t="str">
        <f t="shared" si="7"/>
        <v>27.2960648792773,7.04201244749789</v>
      </c>
    </row>
    <row r="44" spans="2:29" x14ac:dyDescent="0.2">
      <c r="B44" s="3">
        <v>42</v>
      </c>
      <c r="C44" s="6">
        <v>31.8888888888889</v>
      </c>
      <c r="D44" s="6">
        <v>1.1158719664832E-14</v>
      </c>
      <c r="E44" s="8">
        <v>3.14159265358979</v>
      </c>
      <c r="F44" s="7"/>
      <c r="G44" s="10">
        <v>31.189304075394599</v>
      </c>
      <c r="H44" s="10">
        <v>-3.6019743570087601</v>
      </c>
      <c r="I44" s="10">
        <v>0.40576285144117302</v>
      </c>
      <c r="K44" s="10">
        <v>31.147933217260999</v>
      </c>
      <c r="L44" s="10">
        <v>-3.8507580571571198</v>
      </c>
      <c r="M44" s="10">
        <v>0.40576285144117302</v>
      </c>
      <c r="N44" s="13"/>
      <c r="O44" s="10">
        <v>28.0727928267791</v>
      </c>
      <c r="P44" s="10">
        <v>7.0824100609740199</v>
      </c>
      <c r="Q44" s="10">
        <v>0.20247534699637501</v>
      </c>
      <c r="R44" s="13"/>
      <c r="S44" s="8">
        <v>3.14159265358979</v>
      </c>
      <c r="T44" s="13"/>
      <c r="U44" s="13">
        <f t="shared" si="0"/>
        <v>0</v>
      </c>
      <c r="V44" s="13">
        <f t="shared" si="1"/>
        <v>23.248498870773204</v>
      </c>
      <c r="W44" s="13">
        <f t="shared" si="2"/>
        <v>23.248498870773204</v>
      </c>
      <c r="X44" s="13">
        <f t="shared" si="3"/>
        <v>11.600982838339291</v>
      </c>
      <c r="Z44" t="str">
        <f t="shared" si="4"/>
        <v>31.8888888888889,1.1158719664832E-14</v>
      </c>
      <c r="AA44" t="str">
        <f t="shared" si="5"/>
        <v>31.1893040753946,-3.60197435700876</v>
      </c>
      <c r="AB44" t="str">
        <f t="shared" si="6"/>
        <v>31.147933217261,-3.85075805715712</v>
      </c>
      <c r="AC44" t="str">
        <f t="shared" si="7"/>
        <v>28.0727928267791,7.08241006097402</v>
      </c>
    </row>
    <row r="45" spans="2:29" x14ac:dyDescent="0.2">
      <c r="B45" s="3">
        <v>43</v>
      </c>
      <c r="C45" s="6">
        <v>32.6666666666667</v>
      </c>
      <c r="D45" s="6">
        <v>1.12539699714324E-14</v>
      </c>
      <c r="E45" s="8">
        <v>3.14159265358979</v>
      </c>
      <c r="F45" s="7"/>
      <c r="G45" s="10">
        <v>31.903927504715099</v>
      </c>
      <c r="H45" s="10">
        <v>-3.9089786336421599</v>
      </c>
      <c r="I45" s="10">
        <v>0.21429359138123499</v>
      </c>
      <c r="K45" s="10">
        <v>31.862556646581499</v>
      </c>
      <c r="L45" s="10">
        <v>-4.1577623337905303</v>
      </c>
      <c r="M45" s="10">
        <v>0.21429359138123499</v>
      </c>
      <c r="N45" s="13"/>
      <c r="O45" s="10">
        <v>28.834682004721699</v>
      </c>
      <c r="P45" s="10">
        <v>6.9260030530139796</v>
      </c>
      <c r="Q45" s="10">
        <v>1.5201198113016101E-2</v>
      </c>
      <c r="R45" s="13"/>
      <c r="S45" s="8">
        <v>3.14159265358979</v>
      </c>
      <c r="T45" s="13"/>
      <c r="U45" s="13">
        <f t="shared" si="0"/>
        <v>0</v>
      </c>
      <c r="V45" s="13">
        <f t="shared" si="1"/>
        <v>12.278118362846016</v>
      </c>
      <c r="W45" s="13">
        <f t="shared" si="2"/>
        <v>12.278118362846016</v>
      </c>
      <c r="X45" s="13">
        <f t="shared" si="3"/>
        <v>0.87096449541820675</v>
      </c>
      <c r="Z45" t="str">
        <f t="shared" si="4"/>
        <v>32.6666666666667,1.12539699714324E-14</v>
      </c>
      <c r="AA45" t="str">
        <f t="shared" si="5"/>
        <v>31.9039275047151,-3.90897863364216</v>
      </c>
      <c r="AB45" t="str">
        <f t="shared" si="6"/>
        <v>31.8625566465815,-4.15776233379053</v>
      </c>
      <c r="AC45" t="str">
        <f t="shared" si="7"/>
        <v>28.8346820047217,6.92600305301398</v>
      </c>
    </row>
    <row r="46" spans="2:29" x14ac:dyDescent="0.2">
      <c r="B46" s="3">
        <v>44</v>
      </c>
      <c r="C46" s="6">
        <v>33.4444444444445</v>
      </c>
      <c r="D46" s="6">
        <v>1.1349220278032699E-14</v>
      </c>
      <c r="E46" s="8">
        <v>3.14159265358979</v>
      </c>
      <c r="F46" s="7"/>
      <c r="G46" s="10">
        <v>32.663915063188497</v>
      </c>
      <c r="H46" s="10">
        <v>-4.0743787018721402</v>
      </c>
      <c r="I46" s="10">
        <v>7.6361622242277993E-2</v>
      </c>
      <c r="K46" s="10">
        <v>32.622544205054901</v>
      </c>
      <c r="L46" s="10">
        <v>-4.3231624020205102</v>
      </c>
      <c r="M46" s="10">
        <v>7.6361622242277993E-2</v>
      </c>
      <c r="N46" s="13"/>
      <c r="O46" s="10">
        <v>29.6123699211761</v>
      </c>
      <c r="P46" s="10">
        <v>6.9141803542628502</v>
      </c>
      <c r="Q46" s="10">
        <v>-0.190650124110471</v>
      </c>
      <c r="R46" s="13"/>
      <c r="S46" s="8">
        <v>3.14159265358979</v>
      </c>
      <c r="T46" s="13"/>
      <c r="U46" s="13">
        <f t="shared" si="0"/>
        <v>0</v>
      </c>
      <c r="V46" s="13">
        <f t="shared" si="1"/>
        <v>4.3751986712550206</v>
      </c>
      <c r="W46" s="13">
        <f t="shared" si="2"/>
        <v>4.3751986712550206</v>
      </c>
      <c r="X46" s="13">
        <f t="shared" si="3"/>
        <v>-10.923447475175152</v>
      </c>
      <c r="Z46" t="str">
        <f t="shared" si="4"/>
        <v>33.4444444444445,1.13492202780327E-14</v>
      </c>
      <c r="AA46" t="str">
        <f t="shared" si="5"/>
        <v>32.6639150631885,-4.07437870187214</v>
      </c>
      <c r="AB46" t="str">
        <f t="shared" si="6"/>
        <v>32.6225442050549,-4.32316240202051</v>
      </c>
      <c r="AC46" t="str">
        <f t="shared" si="7"/>
        <v>29.6123699211761,6.91418035426285</v>
      </c>
    </row>
    <row r="47" spans="2:29" x14ac:dyDescent="0.2">
      <c r="B47" s="3">
        <v>45</v>
      </c>
      <c r="C47" s="6">
        <v>34.2222222222222</v>
      </c>
      <c r="D47" s="6">
        <v>1.1444470584633099E-14</v>
      </c>
      <c r="E47" s="8">
        <v>3.14159265358979</v>
      </c>
      <c r="F47" s="7"/>
      <c r="G47" s="10">
        <v>33.439426293689003</v>
      </c>
      <c r="H47" s="10">
        <v>-4.1337133711022398</v>
      </c>
      <c r="I47" s="10">
        <v>7.6361622242277993E-2</v>
      </c>
      <c r="K47" s="10">
        <v>33.398055435555399</v>
      </c>
      <c r="L47" s="10">
        <v>-4.3824970712506097</v>
      </c>
      <c r="M47" s="10">
        <v>0.14288340672045199</v>
      </c>
      <c r="N47" s="13"/>
      <c r="O47" s="10">
        <v>30.376055334636099</v>
      </c>
      <c r="P47" s="10">
        <v>7.0615671273237197</v>
      </c>
      <c r="Q47" s="10">
        <v>-0.160725861487272</v>
      </c>
      <c r="R47" s="13"/>
      <c r="S47" s="8">
        <v>3.14159265358979</v>
      </c>
      <c r="T47" s="13"/>
      <c r="U47" s="13">
        <f t="shared" si="0"/>
        <v>0</v>
      </c>
      <c r="V47" s="13">
        <f t="shared" si="1"/>
        <v>4.3751986712550206</v>
      </c>
      <c r="W47" s="13">
        <f t="shared" si="2"/>
        <v>8.1866161675332307</v>
      </c>
      <c r="X47" s="13">
        <f t="shared" si="3"/>
        <v>-9.2089135218247691</v>
      </c>
      <c r="Z47" t="str">
        <f t="shared" si="4"/>
        <v>34.2222222222222,1.14444705846331E-14</v>
      </c>
      <c r="AA47" t="str">
        <f t="shared" si="5"/>
        <v>33.439426293689,-4.13371337110224</v>
      </c>
      <c r="AB47" t="str">
        <f t="shared" si="6"/>
        <v>33.3980554355554,-4.38249707125061</v>
      </c>
      <c r="AC47" t="str">
        <f t="shared" si="7"/>
        <v>30.3760553346361,7.06156712732372</v>
      </c>
    </row>
    <row r="48" spans="2:29" x14ac:dyDescent="0.2">
      <c r="B48" s="3">
        <v>46</v>
      </c>
      <c r="C48" s="6">
        <v>35</v>
      </c>
      <c r="D48" s="6">
        <v>1.15397208912334E-14</v>
      </c>
      <c r="E48" s="8">
        <v>3.14159265358979</v>
      </c>
      <c r="F48" s="7"/>
      <c r="G48" s="10">
        <v>34.214937524189402</v>
      </c>
      <c r="H48" s="10">
        <v>-4.19304804033235</v>
      </c>
      <c r="I48" s="10">
        <v>0.14288340672045199</v>
      </c>
      <c r="K48" s="10">
        <v>34.167907285123697</v>
      </c>
      <c r="L48" s="10">
        <v>-4.4932508581887598</v>
      </c>
      <c r="M48" s="10">
        <v>0.24286659565822699</v>
      </c>
      <c r="N48" s="13"/>
      <c r="O48" s="10">
        <v>31.143808630473799</v>
      </c>
      <c r="P48" s="10">
        <v>7.1860386033143699</v>
      </c>
      <c r="Q48" s="10">
        <v>-4.4728922458345401E-2</v>
      </c>
      <c r="R48" s="13"/>
      <c r="S48" s="8">
        <v>3.14159265358979</v>
      </c>
      <c r="T48" s="13"/>
      <c r="U48" s="13">
        <f t="shared" si="0"/>
        <v>0</v>
      </c>
      <c r="V48" s="13">
        <f t="shared" si="1"/>
        <v>8.1866161675332307</v>
      </c>
      <c r="W48" s="13">
        <f t="shared" si="2"/>
        <v>13.915230915926884</v>
      </c>
      <c r="X48" s="13">
        <f t="shared" si="3"/>
        <v>-2.5627784790309249</v>
      </c>
      <c r="Z48" t="str">
        <f t="shared" si="4"/>
        <v>35,1.15397208912334E-14</v>
      </c>
      <c r="AA48" t="str">
        <f t="shared" si="5"/>
        <v>34.2149375241894,-4.19304804033235</v>
      </c>
      <c r="AB48" t="str">
        <f t="shared" si="6"/>
        <v>34.1679072851237,-4.49325085818876</v>
      </c>
      <c r="AC48" t="str">
        <f t="shared" si="7"/>
        <v>31.1438086304738,7.18603860331437</v>
      </c>
    </row>
    <row r="49" spans="2:29" x14ac:dyDescent="0.2">
      <c r="B49" s="3">
        <v>47</v>
      </c>
      <c r="C49" s="6">
        <v>35.7777777777778</v>
      </c>
      <c r="D49" s="6">
        <v>1.16349711978338E-14</v>
      </c>
      <c r="E49" s="8">
        <v>3.14159265358979</v>
      </c>
      <c r="F49" s="7"/>
      <c r="G49" s="10">
        <v>34.9847893737577</v>
      </c>
      <c r="H49" s="10">
        <v>-4.3038018272705001</v>
      </c>
      <c r="I49" s="10">
        <v>0.41186660075187098</v>
      </c>
      <c r="K49" s="10">
        <v>34.922859297661802</v>
      </c>
      <c r="L49" s="10">
        <v>-4.6802955864479898</v>
      </c>
      <c r="M49" s="10">
        <v>0.41186660075187098</v>
      </c>
      <c r="N49" s="13"/>
      <c r="O49" s="10">
        <v>31.9208084970975</v>
      </c>
      <c r="P49" s="10">
        <v>7.2208161660769798</v>
      </c>
      <c r="Q49" s="10">
        <v>0.24692939579149401</v>
      </c>
      <c r="R49" s="13"/>
      <c r="S49" s="8">
        <v>3.14159265358979</v>
      </c>
      <c r="T49" s="13"/>
      <c r="U49" s="13">
        <f t="shared" si="0"/>
        <v>0</v>
      </c>
      <c r="V49" s="13">
        <f t="shared" si="1"/>
        <v>23.598217945482077</v>
      </c>
      <c r="W49" s="13">
        <f t="shared" si="2"/>
        <v>23.598217945482077</v>
      </c>
      <c r="X49" s="13">
        <f t="shared" si="3"/>
        <v>14.148012216568276</v>
      </c>
      <c r="Z49" t="str">
        <f t="shared" si="4"/>
        <v>35.7777777777778,1.16349711978338E-14</v>
      </c>
      <c r="AA49" t="str">
        <f t="shared" si="5"/>
        <v>34.9847893737577,-4.3038018272705</v>
      </c>
      <c r="AB49" t="str">
        <f t="shared" si="6"/>
        <v>34.9228592976618,-4.68029558644799</v>
      </c>
      <c r="AC49" t="str">
        <f t="shared" si="7"/>
        <v>31.9208084970975,7.22081616607698</v>
      </c>
    </row>
    <row r="50" spans="2:29" x14ac:dyDescent="0.2">
      <c r="B50" s="3">
        <v>48</v>
      </c>
      <c r="C50" s="6">
        <v>36.5555555555556</v>
      </c>
      <c r="D50" s="6">
        <v>1.1730221504434099E-14</v>
      </c>
      <c r="E50" s="8">
        <v>3.14159265358979</v>
      </c>
      <c r="F50" s="7"/>
      <c r="G50" s="10">
        <v>35.6975256256951</v>
      </c>
      <c r="H50" s="10">
        <v>-4.6151622402634702</v>
      </c>
      <c r="I50" s="10">
        <v>0.19167724289983401</v>
      </c>
      <c r="K50" s="10">
        <v>35.635595549599202</v>
      </c>
      <c r="L50" s="10">
        <v>-4.9916559994409599</v>
      </c>
      <c r="M50" s="10">
        <v>0.19167724289983401</v>
      </c>
      <c r="N50" s="13"/>
      <c r="O50" s="10">
        <v>32.674994355638702</v>
      </c>
      <c r="P50" s="10">
        <v>7.03070577082896</v>
      </c>
      <c r="Q50" s="10">
        <v>-9.9831483203659699E-2</v>
      </c>
      <c r="R50" s="13"/>
      <c r="S50" s="8">
        <v>3.14159265358979</v>
      </c>
      <c r="T50" s="13"/>
      <c r="U50" s="13">
        <f t="shared" si="0"/>
        <v>0</v>
      </c>
      <c r="V50" s="13">
        <f t="shared" si="1"/>
        <v>10.982297046864574</v>
      </c>
      <c r="W50" s="13">
        <f t="shared" si="2"/>
        <v>10.982297046864574</v>
      </c>
      <c r="X50" s="13">
        <f t="shared" si="3"/>
        <v>-5.719922650100699</v>
      </c>
      <c r="Z50" t="str">
        <f t="shared" si="4"/>
        <v>36.5555555555556,1.17302215044341E-14</v>
      </c>
      <c r="AA50" t="str">
        <f t="shared" si="5"/>
        <v>35.6975256256951,-4.61516224026347</v>
      </c>
      <c r="AB50" t="str">
        <f t="shared" si="6"/>
        <v>35.6355955495992,-4.99165599944096</v>
      </c>
      <c r="AC50" t="str">
        <f t="shared" si="7"/>
        <v>32.6749943556387,7.03070577082896</v>
      </c>
    </row>
    <row r="51" spans="2:29" x14ac:dyDescent="0.2">
      <c r="B51" s="3">
        <v>49</v>
      </c>
      <c r="C51" s="6">
        <v>37.3333333333334</v>
      </c>
      <c r="D51" s="6">
        <v>1.1825471811034499E-14</v>
      </c>
      <c r="E51" s="8">
        <v>3.14159265358979</v>
      </c>
      <c r="F51" s="7"/>
      <c r="G51" s="10">
        <v>36.461059252624203</v>
      </c>
      <c r="H51" s="10">
        <v>-4.7633333310792203</v>
      </c>
      <c r="I51" s="10">
        <v>0.40564524944610902</v>
      </c>
      <c r="K51" s="10">
        <v>36.399129176528298</v>
      </c>
      <c r="L51" s="10">
        <v>-5.13982709025671</v>
      </c>
      <c r="M51" s="10">
        <v>0.40564524944610902</v>
      </c>
      <c r="N51" s="13"/>
      <c r="O51" s="10">
        <v>33.4488995582279</v>
      </c>
      <c r="P51" s="10">
        <v>7.1082235688523703</v>
      </c>
      <c r="Q51" s="10">
        <v>0.25251322099919998</v>
      </c>
      <c r="R51" s="13"/>
      <c r="S51" s="8">
        <v>3.14159265358979</v>
      </c>
      <c r="T51" s="13"/>
      <c r="U51" s="13">
        <f t="shared" si="0"/>
        <v>0</v>
      </c>
      <c r="V51" s="13">
        <f t="shared" si="1"/>
        <v>23.241760772793697</v>
      </c>
      <c r="W51" s="13">
        <f t="shared" si="2"/>
        <v>23.241760772793697</v>
      </c>
      <c r="X51" s="13">
        <f t="shared" si="3"/>
        <v>14.467941834508565</v>
      </c>
      <c r="Z51" t="str">
        <f t="shared" si="4"/>
        <v>37.3333333333334,1.18254718110345E-14</v>
      </c>
      <c r="AA51" t="str">
        <f t="shared" si="5"/>
        <v>36.4610592526242,-4.76333333107922</v>
      </c>
      <c r="AB51" t="str">
        <f t="shared" si="6"/>
        <v>36.3991291765283,-5.13982709025671</v>
      </c>
      <c r="AC51" t="str">
        <f t="shared" si="7"/>
        <v>33.4488995582279,7.10822356885237</v>
      </c>
    </row>
    <row r="52" spans="2:29" x14ac:dyDescent="0.2">
      <c r="B52" s="3">
        <v>50</v>
      </c>
      <c r="C52" s="6">
        <v>38.1111111111111</v>
      </c>
      <c r="D52" s="6">
        <v>1.19207221176348E-14</v>
      </c>
      <c r="E52" s="8">
        <v>3.14159265358979</v>
      </c>
      <c r="F52" s="7"/>
      <c r="G52" s="10">
        <v>37.175718781318302</v>
      </c>
      <c r="H52" s="10">
        <v>-5.0702535644488398</v>
      </c>
      <c r="I52" s="10">
        <v>0.30475543924901299</v>
      </c>
      <c r="K52" s="10">
        <v>37.113788705222397</v>
      </c>
      <c r="L52" s="10">
        <v>-5.4467473236263304</v>
      </c>
      <c r="M52" s="10">
        <v>0.30475543924901299</v>
      </c>
      <c r="N52" s="13"/>
      <c r="O52" s="10">
        <v>34.202012121679097</v>
      </c>
      <c r="P52" s="10">
        <v>6.9139049172080904</v>
      </c>
      <c r="Q52" s="10">
        <v>0.10501814060326201</v>
      </c>
      <c r="R52" s="13"/>
      <c r="S52" s="8">
        <v>3.14159265358979</v>
      </c>
      <c r="T52" s="13"/>
      <c r="U52" s="13">
        <f t="shared" si="0"/>
        <v>0</v>
      </c>
      <c r="V52" s="13">
        <f t="shared" si="1"/>
        <v>17.461200452624155</v>
      </c>
      <c r="W52" s="13">
        <f t="shared" si="2"/>
        <v>17.461200452624155</v>
      </c>
      <c r="X52" s="13">
        <f t="shared" si="3"/>
        <v>6.0170962288785574</v>
      </c>
      <c r="Z52" t="str">
        <f t="shared" si="4"/>
        <v>38.1111111111111,1.19207221176348E-14</v>
      </c>
      <c r="AA52" t="str">
        <f t="shared" si="5"/>
        <v>37.1757187813183,-5.07025356444884</v>
      </c>
      <c r="AB52" t="str">
        <f t="shared" si="6"/>
        <v>37.1137887052224,-5.44674732362633</v>
      </c>
      <c r="AC52" t="str">
        <f t="shared" si="7"/>
        <v>34.2020121216791,6.91390491720809</v>
      </c>
    </row>
    <row r="53" spans="2:29" x14ac:dyDescent="0.2">
      <c r="B53" s="3">
        <v>51</v>
      </c>
      <c r="C53" s="6">
        <v>38.8888888888889</v>
      </c>
      <c r="D53" s="6">
        <v>1.20159724242352E-14</v>
      </c>
      <c r="E53" s="8">
        <v>3.14159265358979</v>
      </c>
      <c r="F53" s="7"/>
      <c r="G53" s="10">
        <v>37.917656842181202</v>
      </c>
      <c r="H53" s="10">
        <v>-5.3036334809966101</v>
      </c>
      <c r="I53" s="10">
        <v>0.14365700063035799</v>
      </c>
      <c r="K53" s="10">
        <v>37.855726766085397</v>
      </c>
      <c r="L53" s="10">
        <v>-5.6801272401740999</v>
      </c>
      <c r="M53" s="10">
        <v>0.14365700063035799</v>
      </c>
      <c r="N53" s="13"/>
      <c r="O53" s="10">
        <v>34.975504858260997</v>
      </c>
      <c r="P53" s="10">
        <v>6.8323741987029001</v>
      </c>
      <c r="Q53" s="10">
        <v>-0.17511307652307601</v>
      </c>
      <c r="R53" s="13"/>
      <c r="S53" s="8">
        <v>3.14159265358979</v>
      </c>
      <c r="T53" s="13"/>
      <c r="U53" s="13">
        <f t="shared" si="0"/>
        <v>0</v>
      </c>
      <c r="V53" s="13">
        <f t="shared" si="1"/>
        <v>8.2309398336279003</v>
      </c>
      <c r="W53" s="13">
        <f t="shared" si="2"/>
        <v>8.2309398336279003</v>
      </c>
      <c r="X53" s="13">
        <f t="shared" si="3"/>
        <v>-10.033240222323514</v>
      </c>
      <c r="Z53" t="str">
        <f t="shared" si="4"/>
        <v>38.8888888888889,1.20159724242352E-14</v>
      </c>
      <c r="AA53" t="str">
        <f t="shared" si="5"/>
        <v>37.9176568421812,-5.30363348099661</v>
      </c>
      <c r="AB53" t="str">
        <f t="shared" si="6"/>
        <v>37.8557267660854,-5.6801272401741</v>
      </c>
      <c r="AC53" t="str">
        <f t="shared" si="7"/>
        <v>34.975504858261,6.8323741987029</v>
      </c>
    </row>
    <row r="54" spans="2:29" x14ac:dyDescent="0.2">
      <c r="B54" s="3">
        <v>52</v>
      </c>
      <c r="C54" s="6">
        <v>39.6666666666667</v>
      </c>
      <c r="D54" s="6">
        <v>1.2111222730835501E-14</v>
      </c>
      <c r="E54" s="8">
        <v>3.14159265358979</v>
      </c>
      <c r="F54" s="7"/>
      <c r="G54" s="10">
        <v>38.687422782945099</v>
      </c>
      <c r="H54" s="10">
        <v>-5.41498278743755</v>
      </c>
      <c r="I54" s="10">
        <v>0.252340800670456</v>
      </c>
      <c r="K54" s="10">
        <v>38.625492706849201</v>
      </c>
      <c r="L54" s="10">
        <v>-5.7914765466150397</v>
      </c>
      <c r="M54" s="10">
        <v>0.252340800670456</v>
      </c>
      <c r="N54" s="13"/>
      <c r="O54" s="10">
        <v>35.741387959979498</v>
      </c>
      <c r="P54" s="10">
        <v>6.9678782433178199</v>
      </c>
      <c r="Q54" s="10">
        <v>4.6334234559657801E-2</v>
      </c>
      <c r="R54" s="13"/>
      <c r="S54" s="8">
        <v>3.14159265358979</v>
      </c>
      <c r="T54" s="13"/>
      <c r="U54" s="13">
        <f t="shared" si="0"/>
        <v>0</v>
      </c>
      <c r="V54" s="13">
        <f t="shared" si="1"/>
        <v>14.458062877369287</v>
      </c>
      <c r="W54" s="13">
        <f t="shared" si="2"/>
        <v>14.458062877369287</v>
      </c>
      <c r="X54" s="13">
        <f t="shared" si="3"/>
        <v>2.6547560872377858</v>
      </c>
      <c r="Z54" t="str">
        <f t="shared" si="4"/>
        <v>39.6666666666667,1.21112227308355E-14</v>
      </c>
      <c r="AA54" t="str">
        <f t="shared" si="5"/>
        <v>38.6874227829451,-5.41498278743755</v>
      </c>
      <c r="AB54" t="str">
        <f t="shared" si="6"/>
        <v>38.6254927068492,-5.79147654661504</v>
      </c>
      <c r="AC54" t="str">
        <f t="shared" si="7"/>
        <v>35.7413879599795,6.96787824331782</v>
      </c>
    </row>
    <row r="55" spans="2:29" x14ac:dyDescent="0.2">
      <c r="B55" s="3">
        <v>53</v>
      </c>
      <c r="C55" s="6">
        <v>40.4444444444445</v>
      </c>
      <c r="D55" s="6">
        <v>1.2206473037435901E-14</v>
      </c>
      <c r="E55" s="8">
        <v>3.14159265358979</v>
      </c>
      <c r="F55" s="7"/>
      <c r="G55" s="10">
        <v>39.440568839687401</v>
      </c>
      <c r="H55" s="10">
        <v>-5.6091715842782799</v>
      </c>
      <c r="I55" s="10">
        <v>0.252340800670456</v>
      </c>
      <c r="K55" s="10">
        <v>39.378638763591503</v>
      </c>
      <c r="L55" s="10">
        <v>-5.9856653434557696</v>
      </c>
      <c r="M55" s="10">
        <v>0.15900336492432901</v>
      </c>
      <c r="N55" s="13"/>
      <c r="O55" s="10">
        <v>36.518330996610203</v>
      </c>
      <c r="P55" s="10">
        <v>6.9318533986136801</v>
      </c>
      <c r="Q55" s="10">
        <v>-0.101941374511717</v>
      </c>
      <c r="R55" s="13"/>
      <c r="S55" s="8">
        <v>3.14159265358979</v>
      </c>
      <c r="T55" s="13"/>
      <c r="U55" s="13">
        <f t="shared" si="0"/>
        <v>0</v>
      </c>
      <c r="V55" s="13">
        <f t="shared" si="1"/>
        <v>14.458062877369287</v>
      </c>
      <c r="W55" s="13">
        <f t="shared" si="2"/>
        <v>9.1102217385426911</v>
      </c>
      <c r="X55" s="13">
        <f t="shared" si="3"/>
        <v>-5.8408105172836997</v>
      </c>
      <c r="Z55" t="str">
        <f t="shared" si="4"/>
        <v>40.4444444444445,1.22064730374359E-14</v>
      </c>
      <c r="AA55" t="str">
        <f t="shared" si="5"/>
        <v>39.4405688396874,-5.60917158427828</v>
      </c>
      <c r="AB55" t="str">
        <f t="shared" si="6"/>
        <v>39.3786387635915,-5.98566534345577</v>
      </c>
      <c r="AC55" t="str">
        <f t="shared" si="7"/>
        <v>36.5183309966102,6.93185339861368</v>
      </c>
    </row>
    <row r="56" spans="2:29" x14ac:dyDescent="0.2">
      <c r="B56" s="3">
        <v>54</v>
      </c>
      <c r="C56" s="6">
        <v>41.2222222222223</v>
      </c>
      <c r="D56" s="6">
        <v>1.23017233440362E-14</v>
      </c>
      <c r="E56" s="8">
        <v>3.14159265358979</v>
      </c>
      <c r="F56" s="7"/>
      <c r="G56" s="10">
        <v>40.193714896429697</v>
      </c>
      <c r="H56" s="10">
        <v>-5.8033603811190098</v>
      </c>
      <c r="I56" s="10">
        <v>0.15900336492432901</v>
      </c>
      <c r="K56" s="10">
        <v>40.146605322053198</v>
      </c>
      <c r="L56" s="10">
        <v>-6.1088141830340703</v>
      </c>
      <c r="M56" s="10">
        <v>0.104672164260473</v>
      </c>
      <c r="N56" s="13"/>
      <c r="O56" s="10">
        <v>37.292070922618898</v>
      </c>
      <c r="P56" s="10">
        <v>7.0110038787451598</v>
      </c>
      <c r="Q56" s="10">
        <v>-0.137792394271016</v>
      </c>
      <c r="R56" s="13"/>
      <c r="S56" s="8">
        <v>3.14159265358979</v>
      </c>
      <c r="T56" s="13"/>
      <c r="U56" s="13">
        <f t="shared" si="0"/>
        <v>0</v>
      </c>
      <c r="V56" s="13">
        <f t="shared" si="1"/>
        <v>9.1102217385426911</v>
      </c>
      <c r="W56" s="13">
        <f t="shared" si="2"/>
        <v>5.9972732446253758</v>
      </c>
      <c r="X56" s="13">
        <f t="shared" si="3"/>
        <v>-7.8949226407316644</v>
      </c>
      <c r="Z56" t="str">
        <f t="shared" si="4"/>
        <v>41.2222222222223,1.23017233440362E-14</v>
      </c>
      <c r="AA56" t="str">
        <f t="shared" si="5"/>
        <v>40.1937148964297,-5.80336038111901</v>
      </c>
      <c r="AB56" t="str">
        <f t="shared" si="6"/>
        <v>40.1466053220532,-6.10881418303407</v>
      </c>
      <c r="AC56" t="str">
        <f t="shared" si="7"/>
        <v>37.2920709226189,7.01100387874516</v>
      </c>
    </row>
    <row r="57" spans="2:29" x14ac:dyDescent="0.2">
      <c r="B57" s="3">
        <v>55</v>
      </c>
      <c r="C57" s="6">
        <v>42</v>
      </c>
      <c r="D57" s="6">
        <v>1.23969736506366E-14</v>
      </c>
      <c r="E57" s="8">
        <v>3.14159265358979</v>
      </c>
      <c r="F57" s="7"/>
      <c r="G57" s="10">
        <v>40.961681454891398</v>
      </c>
      <c r="H57" s="10">
        <v>-5.9265092206973096</v>
      </c>
      <c r="I57" s="10">
        <v>-0.14641305963847001</v>
      </c>
      <c r="K57" s="10">
        <v>40.920126220040899</v>
      </c>
      <c r="L57" s="10">
        <v>-6.1900772864768197</v>
      </c>
      <c r="M57" s="10">
        <v>-0.14641305963847001</v>
      </c>
      <c r="N57" s="13"/>
      <c r="O57" s="10">
        <v>38.062476642014197</v>
      </c>
      <c r="P57" s="10">
        <v>7.1178369219855497</v>
      </c>
      <c r="Q57" s="10">
        <v>-0.39767979687945498</v>
      </c>
      <c r="R57" s="13"/>
      <c r="S57" s="8">
        <v>3.14159265358979</v>
      </c>
      <c r="T57" s="13"/>
      <c r="U57" s="13">
        <f t="shared" si="0"/>
        <v>0</v>
      </c>
      <c r="V57" s="13">
        <f t="shared" si="1"/>
        <v>-8.3888503828814009</v>
      </c>
      <c r="W57" s="13">
        <f t="shared" si="2"/>
        <v>-8.3888503828814009</v>
      </c>
      <c r="X57" s="13">
        <f t="shared" si="3"/>
        <v>-22.785373958812414</v>
      </c>
      <c r="Z57" t="str">
        <f t="shared" si="4"/>
        <v>42,1.23969736506366E-14</v>
      </c>
      <c r="AA57" t="str">
        <f t="shared" si="5"/>
        <v>40.9616814548914,-5.92650922069731</v>
      </c>
      <c r="AB57" t="str">
        <f t="shared" si="6"/>
        <v>40.9201262200409,-6.19007728647682</v>
      </c>
      <c r="AC57" t="str">
        <f t="shared" si="7"/>
        <v>38.0624766420142,7.11783692198555</v>
      </c>
    </row>
    <row r="58" spans="2:29" x14ac:dyDescent="0.2">
      <c r="B58" s="3">
        <v>56</v>
      </c>
      <c r="C58" s="6">
        <v>42</v>
      </c>
      <c r="D58" s="6">
        <v>1.23969736506366E-14</v>
      </c>
      <c r="E58" s="8">
        <v>1.5707963267949001</v>
      </c>
      <c r="F58" s="7"/>
      <c r="G58" s="10">
        <v>40.961681454891398</v>
      </c>
      <c r="H58" s="10">
        <v>-5.9265092206973096</v>
      </c>
      <c r="I58" s="10">
        <v>-0.59972638054546901</v>
      </c>
      <c r="K58" s="10">
        <v>40.920126220040899</v>
      </c>
      <c r="L58" s="10">
        <v>-6.1900772864768197</v>
      </c>
      <c r="M58" s="10">
        <v>-0.59972638054546901</v>
      </c>
      <c r="N58" s="13"/>
      <c r="O58" s="10">
        <v>38.062476642014197</v>
      </c>
      <c r="P58" s="10">
        <v>7.1178369219855497</v>
      </c>
      <c r="Q58" s="10">
        <v>-1.2515517182609199</v>
      </c>
      <c r="R58" s="13"/>
      <c r="S58" s="8">
        <v>1.5707963267949001</v>
      </c>
      <c r="T58" s="13"/>
      <c r="U58" s="13">
        <f t="shared" si="0"/>
        <v>0</v>
      </c>
      <c r="V58" s="13">
        <f t="shared" si="1"/>
        <v>55.638209532087714</v>
      </c>
      <c r="W58" s="13">
        <f t="shared" si="2"/>
        <v>55.638209532087714</v>
      </c>
      <c r="X58" s="13">
        <f t="shared" si="3"/>
        <v>18.291368701302787</v>
      </c>
      <c r="Z58" t="str">
        <f t="shared" si="4"/>
        <v>42,1.23969736506366E-14</v>
      </c>
      <c r="AA58" t="str">
        <f t="shared" si="5"/>
        <v>40.9616814548914,-5.92650922069731</v>
      </c>
      <c r="AB58" t="str">
        <f t="shared" si="6"/>
        <v>40.9201262200409,-6.19007728647682</v>
      </c>
      <c r="AC58" t="str">
        <f t="shared" si="7"/>
        <v>38.0624766420142,7.11783692198555</v>
      </c>
    </row>
    <row r="59" spans="2:29" x14ac:dyDescent="0.2">
      <c r="B59" s="3">
        <v>57</v>
      </c>
      <c r="C59" s="6">
        <v>42</v>
      </c>
      <c r="D59" s="6">
        <v>1.80000000000001</v>
      </c>
      <c r="E59" s="8">
        <v>1.5707963267949001</v>
      </c>
      <c r="F59" s="7"/>
      <c r="G59" s="10">
        <v>42.447563601011502</v>
      </c>
      <c r="H59" s="10">
        <v>-4.9105592968126199</v>
      </c>
      <c r="I59" s="10">
        <v>-1.0670712642598801</v>
      </c>
      <c r="K59" s="10">
        <v>42.406008366161103</v>
      </c>
      <c r="L59" s="10">
        <v>-5.17412736259213</v>
      </c>
      <c r="M59" s="10">
        <v>-1.0670712642598801</v>
      </c>
      <c r="N59" s="13"/>
      <c r="O59" s="10">
        <v>38.627405609897501</v>
      </c>
      <c r="P59" s="10">
        <v>8.8268879046207296</v>
      </c>
      <c r="Q59" s="10">
        <v>-1.49454896690591</v>
      </c>
      <c r="R59" s="13"/>
      <c r="S59" s="8">
        <v>1.5707963267949001</v>
      </c>
      <c r="T59" s="13"/>
      <c r="U59" s="13">
        <f t="shared" si="0"/>
        <v>0</v>
      </c>
      <c r="V59" s="13">
        <f t="shared" si="1"/>
        <v>28.861320118219709</v>
      </c>
      <c r="W59" s="13">
        <f t="shared" si="2"/>
        <v>28.861320118219709</v>
      </c>
      <c r="X59" s="13">
        <f t="shared" si="3"/>
        <v>4.3686519206538037</v>
      </c>
      <c r="Z59" t="str">
        <f t="shared" si="4"/>
        <v>42,1.80000000000001</v>
      </c>
      <c r="AA59" t="str">
        <f t="shared" si="5"/>
        <v>42.4475636010115,-4.91055929681262</v>
      </c>
      <c r="AB59" t="str">
        <f t="shared" si="6"/>
        <v>42.4060083661611,-5.17412736259213</v>
      </c>
      <c r="AC59" t="str">
        <f t="shared" si="7"/>
        <v>38.6274056098975,8.82688790462073</v>
      </c>
    </row>
    <row r="60" spans="2:29" x14ac:dyDescent="0.2">
      <c r="B60" s="3">
        <v>58</v>
      </c>
      <c r="C60" s="6">
        <v>42</v>
      </c>
      <c r="D60" s="6">
        <v>3.6000000000000099</v>
      </c>
      <c r="E60" s="8">
        <v>1.5707963267949001</v>
      </c>
      <c r="F60" s="7"/>
      <c r="G60" s="10">
        <v>43.3164078594613</v>
      </c>
      <c r="H60" s="10">
        <v>-3.33413623983872</v>
      </c>
      <c r="I60" s="10">
        <v>-1.5774867497579099</v>
      </c>
      <c r="K60" s="10">
        <v>43.274852624610801</v>
      </c>
      <c r="L60" s="10">
        <v>-3.5977043056182301</v>
      </c>
      <c r="M60" s="10">
        <v>-1.5774867497579099</v>
      </c>
      <c r="N60" s="13"/>
      <c r="O60" s="10">
        <v>38.764517913482798</v>
      </c>
      <c r="P60" s="10">
        <v>10.621658145126601</v>
      </c>
      <c r="Q60" s="10">
        <v>-1.7367715094947</v>
      </c>
      <c r="R60" s="13"/>
      <c r="S60" s="8">
        <v>1.5707963267949001</v>
      </c>
      <c r="T60" s="13"/>
      <c r="U60" s="13">
        <f t="shared" si="0"/>
        <v>0</v>
      </c>
      <c r="V60" s="13">
        <f t="shared" si="1"/>
        <v>-0.38333299893827188</v>
      </c>
      <c r="W60" s="13">
        <f t="shared" si="2"/>
        <v>-0.38333299893827188</v>
      </c>
      <c r="X60" s="13">
        <f t="shared" si="3"/>
        <v>-9.5096774726116848</v>
      </c>
      <c r="Z60" t="str">
        <f t="shared" si="4"/>
        <v>42,3.60000000000001</v>
      </c>
      <c r="AA60" t="str">
        <f t="shared" si="5"/>
        <v>43.3164078594613,-3.33413623983872</v>
      </c>
      <c r="AB60" t="str">
        <f t="shared" si="6"/>
        <v>43.2748526246108,-3.59770430561823</v>
      </c>
      <c r="AC60" t="str">
        <f t="shared" si="7"/>
        <v>38.7645179134828,10.6216581451266</v>
      </c>
    </row>
    <row r="61" spans="2:29" x14ac:dyDescent="0.2">
      <c r="B61" s="3">
        <v>59</v>
      </c>
      <c r="C61" s="6">
        <v>42</v>
      </c>
      <c r="D61" s="6">
        <v>5.4000000000000101</v>
      </c>
      <c r="E61" s="8">
        <v>1.5707963267949001</v>
      </c>
      <c r="F61" s="7"/>
      <c r="G61" s="10">
        <v>43.304365187970198</v>
      </c>
      <c r="H61" s="10">
        <v>-1.5341765252719299</v>
      </c>
      <c r="I61" s="10">
        <v>-1.07397689867413</v>
      </c>
      <c r="K61" s="10">
        <v>43.262809953119799</v>
      </c>
      <c r="L61" s="10">
        <v>-1.79774459105144</v>
      </c>
      <c r="M61" s="10">
        <v>-1.07397689867413</v>
      </c>
      <c r="N61" s="13"/>
      <c r="O61" s="10">
        <v>38.467132369948402</v>
      </c>
      <c r="P61" s="10">
        <v>12.3969220236801</v>
      </c>
      <c r="Q61" s="10">
        <v>-1.40149487395492</v>
      </c>
      <c r="R61" s="13"/>
      <c r="S61" s="8">
        <v>1.5707963267949001</v>
      </c>
      <c r="T61" s="13"/>
      <c r="U61" s="13">
        <f t="shared" si="0"/>
        <v>0</v>
      </c>
      <c r="V61" s="13">
        <f t="shared" si="1"/>
        <v>28.465656411422884</v>
      </c>
      <c r="W61" s="13">
        <f t="shared" si="2"/>
        <v>28.465656411422884</v>
      </c>
      <c r="X61" s="13">
        <f t="shared" si="3"/>
        <v>9.7002587131636062</v>
      </c>
      <c r="Z61" t="str">
        <f t="shared" si="4"/>
        <v>42,5.40000000000001</v>
      </c>
      <c r="AA61" t="str">
        <f t="shared" si="5"/>
        <v>43.3043651879702,-1.53417652527193</v>
      </c>
      <c r="AB61" t="str">
        <f t="shared" si="6"/>
        <v>43.2628099531198,-1.79774459105144</v>
      </c>
      <c r="AC61" t="str">
        <f t="shared" si="7"/>
        <v>38.4671323699484,12.3969220236801</v>
      </c>
    </row>
    <row r="62" spans="2:29" x14ac:dyDescent="0.2">
      <c r="B62" s="3">
        <v>60</v>
      </c>
      <c r="C62" s="6">
        <v>42</v>
      </c>
      <c r="D62" s="6">
        <v>7.2000000000000099</v>
      </c>
      <c r="E62" s="8">
        <v>1.5707963267949001</v>
      </c>
      <c r="F62" s="7"/>
      <c r="G62" s="10">
        <v>44.1623026150817</v>
      </c>
      <c r="H62" s="10">
        <v>4.82088169128621E-2</v>
      </c>
      <c r="I62" s="10">
        <v>-1.33233982700024</v>
      </c>
      <c r="K62" s="10">
        <v>44.1207473802313</v>
      </c>
      <c r="L62" s="10">
        <v>-0.21535924886664701</v>
      </c>
      <c r="M62" s="10">
        <v>-1.33233982700024</v>
      </c>
      <c r="N62" s="13"/>
      <c r="O62" s="10">
        <v>38.7704212646779</v>
      </c>
      <c r="P62" s="10">
        <v>14.1711868985885</v>
      </c>
      <c r="Q62" s="10">
        <v>-1.5960534254380501</v>
      </c>
      <c r="R62" s="13"/>
      <c r="S62" s="8">
        <v>1.5707963267949001</v>
      </c>
      <c r="T62" s="13"/>
      <c r="U62" s="13">
        <f t="shared" si="0"/>
        <v>0</v>
      </c>
      <c r="V62" s="13">
        <f t="shared" si="1"/>
        <v>13.66255103569577</v>
      </c>
      <c r="W62" s="13">
        <f t="shared" si="2"/>
        <v>13.66255103569577</v>
      </c>
      <c r="X62" s="13">
        <f t="shared" si="3"/>
        <v>-1.4471251549985027</v>
      </c>
      <c r="Z62" t="str">
        <f t="shared" si="4"/>
        <v>42,7.20000000000001</v>
      </c>
      <c r="AA62" t="str">
        <f t="shared" si="5"/>
        <v>44.1623026150817,0.0482088169128621</v>
      </c>
      <c r="AB62" t="str">
        <f t="shared" si="6"/>
        <v>44.1207473802313,-0.215359248866647</v>
      </c>
      <c r="AC62" t="str">
        <f t="shared" si="7"/>
        <v>38.7704212646779,14.1711868985885</v>
      </c>
    </row>
    <row r="63" spans="2:29" x14ac:dyDescent="0.2">
      <c r="B63" s="3">
        <v>61</v>
      </c>
      <c r="C63" s="6">
        <v>42</v>
      </c>
      <c r="D63" s="6">
        <v>9.0000000000000107</v>
      </c>
      <c r="E63" s="8">
        <v>1.5707963267949001</v>
      </c>
      <c r="F63" s="7"/>
      <c r="G63" s="10">
        <v>44.5874681653967</v>
      </c>
      <c r="H63" s="10">
        <v>1.79727549798175</v>
      </c>
      <c r="I63" s="10">
        <v>-1.1385524376825999</v>
      </c>
      <c r="K63" s="10">
        <v>44.545912930546301</v>
      </c>
      <c r="L63" s="10">
        <v>1.5337074322022399</v>
      </c>
      <c r="M63" s="10">
        <v>-1.1385524376825999</v>
      </c>
      <c r="N63" s="13"/>
      <c r="O63" s="10">
        <v>38.7249633205764</v>
      </c>
      <c r="P63" s="10">
        <v>15.9706128001799</v>
      </c>
      <c r="Q63" s="10">
        <v>-1.1559848908639101</v>
      </c>
      <c r="R63" s="13"/>
      <c r="S63" s="8">
        <v>1.5707963267949001</v>
      </c>
      <c r="T63" s="13"/>
      <c r="U63" s="13">
        <f t="shared" si="0"/>
        <v>0</v>
      </c>
      <c r="V63" s="13">
        <f t="shared" si="1"/>
        <v>24.765750566455154</v>
      </c>
      <c r="W63" s="13">
        <f t="shared" si="2"/>
        <v>24.765750566455154</v>
      </c>
      <c r="X63" s="13">
        <f t="shared" si="3"/>
        <v>23.76694457260669</v>
      </c>
      <c r="Z63" t="str">
        <f t="shared" si="4"/>
        <v>42,9.00000000000001</v>
      </c>
      <c r="AA63" t="str">
        <f t="shared" si="5"/>
        <v>44.5874681653967,1.79727549798175</v>
      </c>
      <c r="AB63" t="str">
        <f t="shared" si="6"/>
        <v>44.5459129305463,1.53370743220224</v>
      </c>
      <c r="AC63" t="str">
        <f t="shared" si="7"/>
        <v>38.7249633205764,15.9706128001799</v>
      </c>
    </row>
    <row r="64" spans="2:29" x14ac:dyDescent="0.2">
      <c r="B64" s="3">
        <v>62</v>
      </c>
      <c r="C64" s="6">
        <v>42</v>
      </c>
      <c r="D64" s="6">
        <v>10.8</v>
      </c>
      <c r="E64" s="8">
        <v>1.5707963267949001</v>
      </c>
      <c r="F64" s="7"/>
      <c r="G64" s="10">
        <v>45.341505030653202</v>
      </c>
      <c r="H64" s="10">
        <v>3.4317259884629099</v>
      </c>
      <c r="I64" s="10">
        <v>-1.35052130875903</v>
      </c>
      <c r="K64" s="10">
        <v>45.299949795802803</v>
      </c>
      <c r="L64" s="10">
        <v>3.1681579226833998</v>
      </c>
      <c r="M64" s="10">
        <v>-1.35052130875903</v>
      </c>
      <c r="N64" s="13"/>
      <c r="O64" s="10">
        <v>39.450394577867399</v>
      </c>
      <c r="P64" s="10">
        <v>17.617958996625902</v>
      </c>
      <c r="Q64" s="10">
        <v>-1.69024242307265</v>
      </c>
      <c r="R64" s="13"/>
      <c r="S64" s="8">
        <v>1.5707963267949001</v>
      </c>
      <c r="T64" s="13"/>
      <c r="U64" s="13">
        <f t="shared" si="0"/>
        <v>0</v>
      </c>
      <c r="V64" s="13">
        <f t="shared" si="1"/>
        <v>12.620828865623025</v>
      </c>
      <c r="W64" s="13">
        <f t="shared" si="2"/>
        <v>12.620828865623025</v>
      </c>
      <c r="X64" s="13">
        <f t="shared" si="3"/>
        <v>-6.8437571960288039</v>
      </c>
      <c r="Z64" t="str">
        <f t="shared" si="4"/>
        <v>42,10.8</v>
      </c>
      <c r="AA64" t="str">
        <f t="shared" si="5"/>
        <v>45.3415050306532,3.43172598846291</v>
      </c>
      <c r="AB64" t="str">
        <f t="shared" si="6"/>
        <v>45.2999497958028,3.1681579226834</v>
      </c>
      <c r="AC64" t="str">
        <f t="shared" si="7"/>
        <v>39.4503945778674,17.6179589966259</v>
      </c>
    </row>
    <row r="65" spans="2:29" x14ac:dyDescent="0.2">
      <c r="B65" s="3">
        <v>63</v>
      </c>
      <c r="C65" s="6">
        <v>42</v>
      </c>
      <c r="D65" s="6">
        <v>12.6</v>
      </c>
      <c r="E65" s="8">
        <v>1.5707963267949001</v>
      </c>
      <c r="F65" s="7"/>
      <c r="G65" s="10">
        <v>45.734801438257001</v>
      </c>
      <c r="H65" s="10">
        <v>5.1882333000804701</v>
      </c>
      <c r="I65" s="10">
        <v>-1.35052130875903</v>
      </c>
      <c r="K65" s="10">
        <v>45.693246203406602</v>
      </c>
      <c r="L65" s="10">
        <v>4.92466523430096</v>
      </c>
      <c r="M65" s="10">
        <v>-1.27252391497561</v>
      </c>
      <c r="N65" s="13"/>
      <c r="O65" s="10">
        <v>39.235902494470601</v>
      </c>
      <c r="P65" s="10">
        <v>19.405133623281099</v>
      </c>
      <c r="Q65" s="10">
        <v>-1.55474820604667</v>
      </c>
      <c r="R65" s="13"/>
      <c r="S65" s="8">
        <v>1.5707963267949001</v>
      </c>
      <c r="T65" s="13"/>
      <c r="U65" s="13">
        <f t="shared" si="0"/>
        <v>0</v>
      </c>
      <c r="V65" s="13">
        <f t="shared" si="1"/>
        <v>12.620828865623025</v>
      </c>
      <c r="W65" s="13">
        <f t="shared" si="2"/>
        <v>17.089750342432922</v>
      </c>
      <c r="X65" s="13">
        <f t="shared" si="3"/>
        <v>0.91948958798948865</v>
      </c>
      <c r="Z65" t="str">
        <f t="shared" si="4"/>
        <v>42,12.6</v>
      </c>
      <c r="AA65" t="str">
        <f t="shared" si="5"/>
        <v>45.734801438257,5.18823330008047</v>
      </c>
      <c r="AB65" t="str">
        <f t="shared" si="6"/>
        <v>45.6932462034066,4.92466523430096</v>
      </c>
      <c r="AC65" t="str">
        <f t="shared" si="7"/>
        <v>39.2359024944706,19.4051336232811</v>
      </c>
    </row>
    <row r="66" spans="2:29" x14ac:dyDescent="0.2">
      <c r="B66" s="3">
        <v>64</v>
      </c>
      <c r="C66" s="6">
        <v>42</v>
      </c>
      <c r="D66" s="6">
        <v>14.4</v>
      </c>
      <c r="E66" s="8">
        <v>1.5707963267949001</v>
      </c>
      <c r="F66" s="7"/>
      <c r="G66" s="10">
        <v>46.1280978458608</v>
      </c>
      <c r="H66" s="10">
        <v>6.9447406116980401</v>
      </c>
      <c r="I66" s="10">
        <v>-1.1133349310769201</v>
      </c>
      <c r="K66" s="10">
        <v>46.222211012627703</v>
      </c>
      <c r="L66" s="10">
        <v>6.6451873151257601</v>
      </c>
      <c r="M66" s="10">
        <v>-1.1133349310769201</v>
      </c>
      <c r="N66" s="13"/>
      <c r="O66" s="10">
        <v>39.264787871913001</v>
      </c>
      <c r="P66" s="10">
        <v>21.204901840294099</v>
      </c>
      <c r="Q66" s="10">
        <v>-1.4600699752208599</v>
      </c>
      <c r="R66" s="13"/>
      <c r="S66" s="8">
        <v>1.5707963267949001</v>
      </c>
      <c r="T66" s="13"/>
      <c r="U66" s="13">
        <f t="shared" si="0"/>
        <v>0</v>
      </c>
      <c r="V66" s="13">
        <f t="shared" si="1"/>
        <v>26.210607264803883</v>
      </c>
      <c r="W66" s="13">
        <f t="shared" si="2"/>
        <v>26.210607264803883</v>
      </c>
      <c r="X66" s="13">
        <f t="shared" si="3"/>
        <v>6.3441526260738499</v>
      </c>
      <c r="Z66" t="str">
        <f t="shared" si="4"/>
        <v>42,14.4</v>
      </c>
      <c r="AA66" t="str">
        <f t="shared" si="5"/>
        <v>46.1280978458608,6.94474061169804</v>
      </c>
      <c r="AB66" t="str">
        <f t="shared" si="6"/>
        <v>46.2222110126277,6.64518731512576</v>
      </c>
      <c r="AC66" t="str">
        <f t="shared" si="7"/>
        <v>39.264787871913,21.2049018402941</v>
      </c>
    </row>
    <row r="67" spans="2:29" x14ac:dyDescent="0.2">
      <c r="B67" s="3">
        <v>65</v>
      </c>
      <c r="C67" s="6">
        <v>42</v>
      </c>
      <c r="D67" s="6">
        <v>16.2</v>
      </c>
      <c r="E67" s="8">
        <v>1.5707963267949001</v>
      </c>
      <c r="F67" s="7"/>
      <c r="G67" s="10">
        <v>46.923107366999197</v>
      </c>
      <c r="H67" s="10">
        <v>8.5596585233267604</v>
      </c>
      <c r="I67" s="10">
        <v>-1.3321521994149299</v>
      </c>
      <c r="K67" s="10">
        <v>47.0172205337661</v>
      </c>
      <c r="L67" s="10">
        <v>8.2601052267544794</v>
      </c>
      <c r="M67" s="10">
        <v>-1.3321521994149299</v>
      </c>
      <c r="N67" s="13"/>
      <c r="O67" s="10">
        <v>39.463688292017103</v>
      </c>
      <c r="P67" s="10">
        <v>22.993878816915799</v>
      </c>
      <c r="Q67" s="10">
        <v>-1.6383174106827501</v>
      </c>
      <c r="R67" s="13"/>
      <c r="S67" s="8">
        <v>1.5707963267949001</v>
      </c>
      <c r="T67" s="13"/>
      <c r="U67" s="13">
        <f t="shared" si="0"/>
        <v>0</v>
      </c>
      <c r="V67" s="13">
        <f t="shared" si="1"/>
        <v>13.673301304454299</v>
      </c>
      <c r="W67" s="13">
        <f t="shared" si="2"/>
        <v>13.673301304454299</v>
      </c>
      <c r="X67" s="13">
        <f t="shared" si="3"/>
        <v>-3.8686731349230001</v>
      </c>
      <c r="Z67" t="str">
        <f t="shared" si="4"/>
        <v>42,16.2</v>
      </c>
      <c r="AA67" t="str">
        <f t="shared" si="5"/>
        <v>46.9231073669992,8.55965852332676</v>
      </c>
      <c r="AB67" t="str">
        <f t="shared" si="6"/>
        <v>47.0172205337661,8.26010522675448</v>
      </c>
      <c r="AC67" t="str">
        <f t="shared" si="7"/>
        <v>39.4636882920171,22.9938788169158</v>
      </c>
    </row>
    <row r="68" spans="2:29" x14ac:dyDescent="0.2">
      <c r="B68" s="3">
        <v>66</v>
      </c>
      <c r="C68" s="6">
        <v>42</v>
      </c>
      <c r="D68" s="6">
        <v>18</v>
      </c>
      <c r="E68" s="8">
        <v>1.5707963267949001</v>
      </c>
      <c r="F68" s="7"/>
      <c r="G68" s="10">
        <v>47.348601082986399</v>
      </c>
      <c r="H68" s="10">
        <v>10.3086454008234</v>
      </c>
      <c r="I68" s="10">
        <v>-1.3321521994149299</v>
      </c>
      <c r="K68" s="10">
        <v>47.442714249753301</v>
      </c>
      <c r="L68" s="10">
        <v>10.009092104251099</v>
      </c>
      <c r="M68" s="10">
        <v>-1.3447113247401601</v>
      </c>
      <c r="N68" s="13"/>
      <c r="O68" s="10">
        <v>39.3422426705161</v>
      </c>
      <c r="P68" s="10">
        <v>24.789777188488699</v>
      </c>
      <c r="Q68" s="10">
        <v>-1.6328808737195999</v>
      </c>
      <c r="R68" s="13"/>
      <c r="S68" s="8">
        <v>1.5707963267949001</v>
      </c>
      <c r="T68" s="13"/>
      <c r="U68" s="13">
        <f t="shared" ref="U68:U131" si="8">E68-S68</f>
        <v>0</v>
      </c>
      <c r="V68" s="13">
        <f t="shared" ref="V68:V131" si="9">(I68-S68)*180/PI()+180</f>
        <v>13.673301304454299</v>
      </c>
      <c r="W68" s="13">
        <f t="shared" ref="W68:W84" si="10">(M68-S68)*180/PI()+180</f>
        <v>12.953716428942727</v>
      </c>
      <c r="X68" s="13">
        <f t="shared" ref="X68:X90" si="11">(Q68-S68)*180/PI()+180</f>
        <v>-3.5571825117676212</v>
      </c>
      <c r="Z68" t="str">
        <f t="shared" ref="Z68:Z131" si="12">C68&amp;","&amp;D68</f>
        <v>42,18</v>
      </c>
      <c r="AA68" t="str">
        <f t="shared" ref="AA68:AA131" si="13">G68&amp;","&amp;H68</f>
        <v>47.3486010829864,10.3086454008234</v>
      </c>
      <c r="AB68" t="str">
        <f t="shared" ref="AB68:AB131" si="14">K68&amp;","&amp;L68</f>
        <v>47.4427142497533,10.0090921042511</v>
      </c>
      <c r="AC68" t="str">
        <f t="shared" ref="AC68:AC131" si="15">O68&amp;","&amp;P68</f>
        <v>39.3422426705161,24.7897771884887</v>
      </c>
    </row>
    <row r="69" spans="2:29" x14ac:dyDescent="0.2">
      <c r="B69" s="3">
        <v>67</v>
      </c>
      <c r="C69" s="6">
        <v>42</v>
      </c>
      <c r="D69" s="6">
        <v>19.8</v>
      </c>
      <c r="E69" s="8">
        <v>1.5707963267949001</v>
      </c>
      <c r="F69" s="7"/>
      <c r="G69" s="10">
        <v>47.7740947989736</v>
      </c>
      <c r="H69" s="10">
        <v>12.05763227832</v>
      </c>
      <c r="I69" s="10">
        <v>-1.1261436197539501</v>
      </c>
      <c r="K69" s="10">
        <v>47.846209241330698</v>
      </c>
      <c r="L69" s="10">
        <v>11.7632847367097</v>
      </c>
      <c r="M69" s="10">
        <v>-1.1261436197539501</v>
      </c>
      <c r="N69" s="13"/>
      <c r="O69" s="10">
        <v>39.230562263514599</v>
      </c>
      <c r="P69" s="10">
        <v>26.586309260757901</v>
      </c>
      <c r="Q69" s="10">
        <v>-1.45149770754084</v>
      </c>
      <c r="R69" s="13"/>
      <c r="S69" s="8">
        <v>1.5707963267949001</v>
      </c>
      <c r="T69" s="13"/>
      <c r="U69" s="13">
        <f t="shared" si="8"/>
        <v>0</v>
      </c>
      <c r="V69" s="13">
        <f t="shared" si="9"/>
        <v>25.476723462513036</v>
      </c>
      <c r="W69" s="13">
        <f t="shared" si="10"/>
        <v>25.476723462513036</v>
      </c>
      <c r="X69" s="13">
        <f t="shared" si="11"/>
        <v>6.8353073849953887</v>
      </c>
      <c r="Z69" t="str">
        <f t="shared" si="12"/>
        <v>42,19.8</v>
      </c>
      <c r="AA69" t="str">
        <f t="shared" si="13"/>
        <v>47.7740947989736,12.05763227832</v>
      </c>
      <c r="AB69" t="str">
        <f t="shared" si="14"/>
        <v>47.8462092413307,11.7632847367097</v>
      </c>
      <c r="AC69" t="str">
        <f t="shared" si="15"/>
        <v>39.2305622635146,26.5863092607579</v>
      </c>
    </row>
    <row r="70" spans="2:29" x14ac:dyDescent="0.2">
      <c r="B70" s="3">
        <v>68</v>
      </c>
      <c r="C70" s="6">
        <v>42</v>
      </c>
      <c r="D70" s="6">
        <v>21.6</v>
      </c>
      <c r="E70" s="8">
        <v>1.5707963267949001</v>
      </c>
      <c r="F70" s="7"/>
      <c r="G70" s="10">
        <v>48.548354690207901</v>
      </c>
      <c r="H70" s="10">
        <v>13.682600469032</v>
      </c>
      <c r="I70" s="10">
        <v>-1.2552607629852901</v>
      </c>
      <c r="K70" s="10">
        <v>48.620469132564999</v>
      </c>
      <c r="L70" s="10">
        <v>13.3882529274217</v>
      </c>
      <c r="M70" s="10">
        <v>-1.2552607629852901</v>
      </c>
      <c r="N70" s="13"/>
      <c r="O70" s="10">
        <v>39.444790777385002</v>
      </c>
      <c r="P70" s="10">
        <v>28.373515500631999</v>
      </c>
      <c r="Q70" s="10">
        <v>-1.6442790520613599</v>
      </c>
      <c r="R70" s="13"/>
      <c r="S70" s="8">
        <v>1.5707963267949001</v>
      </c>
      <c r="T70" s="13"/>
      <c r="U70" s="13">
        <f t="shared" si="8"/>
        <v>0</v>
      </c>
      <c r="V70" s="13">
        <f t="shared" si="9"/>
        <v>18.078856092571129</v>
      </c>
      <c r="W70" s="13">
        <f t="shared" si="10"/>
        <v>18.078856092571129</v>
      </c>
      <c r="X70" s="13">
        <f t="shared" si="11"/>
        <v>-4.2102500248878698</v>
      </c>
      <c r="Z70" t="str">
        <f t="shared" si="12"/>
        <v>42,21.6</v>
      </c>
      <c r="AA70" t="str">
        <f t="shared" si="13"/>
        <v>48.5483546902079,13.682600469032</v>
      </c>
      <c r="AB70" t="str">
        <f t="shared" si="14"/>
        <v>48.620469132565,13.3882529274217</v>
      </c>
      <c r="AC70" t="str">
        <f t="shared" si="15"/>
        <v>39.444790777385,28.373515500632</v>
      </c>
    </row>
    <row r="71" spans="2:29" x14ac:dyDescent="0.2">
      <c r="B71" s="3">
        <v>69</v>
      </c>
      <c r="C71" s="6">
        <v>42</v>
      </c>
      <c r="D71" s="6">
        <v>23.4</v>
      </c>
      <c r="E71" s="8">
        <v>1.5707963267949001</v>
      </c>
      <c r="F71" s="7"/>
      <c r="G71" s="10">
        <v>49.106940840231502</v>
      </c>
      <c r="H71" s="10">
        <v>15.3937350379663</v>
      </c>
      <c r="I71" s="10">
        <v>-1.2552607629852901</v>
      </c>
      <c r="K71" s="10">
        <v>49.1790552825886</v>
      </c>
      <c r="L71" s="10">
        <v>15.0993874963559</v>
      </c>
      <c r="M71" s="10">
        <v>-1.28510110903911</v>
      </c>
      <c r="N71" s="13"/>
      <c r="O71" s="10">
        <v>39.312640875413599</v>
      </c>
      <c r="P71" s="10">
        <v>30.168657947182901</v>
      </c>
      <c r="Q71" s="10">
        <v>-1.6177544641171899</v>
      </c>
      <c r="R71" s="13"/>
      <c r="S71" s="8">
        <v>1.5707963267949001</v>
      </c>
      <c r="T71" s="13"/>
      <c r="U71" s="13">
        <f t="shared" si="8"/>
        <v>0</v>
      </c>
      <c r="V71" s="13">
        <f t="shared" si="9"/>
        <v>18.078856092571129</v>
      </c>
      <c r="W71" s="13">
        <f t="shared" si="10"/>
        <v>16.369130204477386</v>
      </c>
      <c r="X71" s="13">
        <f t="shared" si="11"/>
        <v>-2.6905030823633638</v>
      </c>
      <c r="Z71" t="str">
        <f t="shared" si="12"/>
        <v>42,23.4</v>
      </c>
      <c r="AA71" t="str">
        <f t="shared" si="13"/>
        <v>49.1069408402315,15.3937350379663</v>
      </c>
      <c r="AB71" t="str">
        <f t="shared" si="14"/>
        <v>49.1790552825886,15.0993874963559</v>
      </c>
      <c r="AC71" t="str">
        <f t="shared" si="15"/>
        <v>39.3126408754136,30.1686579471829</v>
      </c>
    </row>
    <row r="72" spans="2:29" x14ac:dyDescent="0.2">
      <c r="B72" s="3">
        <v>70</v>
      </c>
      <c r="C72" s="6">
        <v>42</v>
      </c>
      <c r="D72" s="6">
        <v>25.2</v>
      </c>
      <c r="E72" s="8">
        <v>1.5707963267949001</v>
      </c>
      <c r="F72" s="7"/>
      <c r="G72" s="10">
        <v>49.665526990255103</v>
      </c>
      <c r="H72" s="10">
        <v>17.1048696069005</v>
      </c>
      <c r="I72" s="10">
        <v>-1.1720182548303</v>
      </c>
      <c r="K72" s="10">
        <v>49.6863394853982</v>
      </c>
      <c r="L72" s="10">
        <v>16.826426215545499</v>
      </c>
      <c r="M72" s="10">
        <v>-1.1720182548303</v>
      </c>
      <c r="N72" s="13"/>
      <c r="O72" s="10">
        <v>39.228147288555697</v>
      </c>
      <c r="P72" s="10">
        <v>31.966673751835401</v>
      </c>
      <c r="Q72" s="10">
        <v>-1.5129242060758601</v>
      </c>
      <c r="R72" s="13"/>
      <c r="S72" s="8">
        <v>1.5707963267949001</v>
      </c>
      <c r="T72" s="13"/>
      <c r="U72" s="13">
        <f t="shared" si="8"/>
        <v>0</v>
      </c>
      <c r="V72" s="13">
        <f t="shared" si="9"/>
        <v>22.848300485935397</v>
      </c>
      <c r="W72" s="13">
        <f t="shared" si="10"/>
        <v>22.848300485935397</v>
      </c>
      <c r="X72" s="13">
        <f t="shared" si="11"/>
        <v>3.3158282686721634</v>
      </c>
      <c r="Z72" t="str">
        <f t="shared" si="12"/>
        <v>42,25.2</v>
      </c>
      <c r="AA72" t="str">
        <f t="shared" si="13"/>
        <v>49.6655269902551,17.1048696069005</v>
      </c>
      <c r="AB72" t="str">
        <f t="shared" si="14"/>
        <v>49.6863394853982,16.8264262155455</v>
      </c>
      <c r="AC72" t="str">
        <f t="shared" si="15"/>
        <v>39.2281472885557,31.9666737518354</v>
      </c>
    </row>
    <row r="73" spans="2:29" x14ac:dyDescent="0.2">
      <c r="B73" s="3">
        <v>71</v>
      </c>
      <c r="C73" s="6">
        <v>42</v>
      </c>
      <c r="D73" s="6">
        <v>27</v>
      </c>
      <c r="E73" s="8">
        <v>1.5707963267949001</v>
      </c>
      <c r="F73" s="7"/>
      <c r="G73" s="10">
        <v>50.364453637163997</v>
      </c>
      <c r="H73" s="10">
        <v>18.763634672315401</v>
      </c>
      <c r="I73" s="10">
        <v>-1.1720182548303</v>
      </c>
      <c r="K73" s="10">
        <v>50.385266132307002</v>
      </c>
      <c r="L73" s="10">
        <v>18.485191280960301</v>
      </c>
      <c r="M73" s="10">
        <v>-1.11968987058499</v>
      </c>
      <c r="N73" s="13"/>
      <c r="O73" s="10">
        <v>39.332258968300799</v>
      </c>
      <c r="P73" s="10">
        <v>33.763660328897302</v>
      </c>
      <c r="Q73" s="10">
        <v>-1.45772575900435</v>
      </c>
      <c r="R73" s="13"/>
      <c r="S73" s="8">
        <v>1.5707963267949001</v>
      </c>
      <c r="T73" s="13"/>
      <c r="U73" s="13">
        <f t="shared" si="8"/>
        <v>0</v>
      </c>
      <c r="V73" s="13">
        <f t="shared" si="9"/>
        <v>22.848300485935397</v>
      </c>
      <c r="W73" s="13">
        <f t="shared" si="10"/>
        <v>25.846496051930529</v>
      </c>
      <c r="X73" s="13">
        <f t="shared" si="11"/>
        <v>6.4784663215459943</v>
      </c>
      <c r="Z73" t="str">
        <f t="shared" si="12"/>
        <v>42,27</v>
      </c>
      <c r="AA73" t="str">
        <f t="shared" si="13"/>
        <v>50.364453637164,18.7636346723154</v>
      </c>
      <c r="AB73" t="str">
        <f t="shared" si="14"/>
        <v>50.385266132307,18.4851912809603</v>
      </c>
      <c r="AC73" t="str">
        <f t="shared" si="15"/>
        <v>39.3322589683008,33.7636603288973</v>
      </c>
    </row>
    <row r="74" spans="2:29" x14ac:dyDescent="0.2">
      <c r="B74" s="3">
        <v>72</v>
      </c>
      <c r="C74" s="6">
        <v>42</v>
      </c>
      <c r="D74" s="6">
        <v>28.8</v>
      </c>
      <c r="E74" s="8">
        <v>1.5707963267949001</v>
      </c>
      <c r="F74" s="7"/>
      <c r="G74" s="10">
        <v>51.063380284072799</v>
      </c>
      <c r="H74" s="10">
        <v>20.422399737730199</v>
      </c>
      <c r="I74" s="10">
        <v>-1.2366380037751299</v>
      </c>
      <c r="K74" s="10">
        <v>51.169996963605897</v>
      </c>
      <c r="L74" s="10">
        <v>20.105128786671301</v>
      </c>
      <c r="M74" s="10">
        <v>-1.2366380037751299</v>
      </c>
      <c r="N74" s="13"/>
      <c r="O74" s="10">
        <v>39.535352586890099</v>
      </c>
      <c r="P74" s="10">
        <v>35.552166124830897</v>
      </c>
      <c r="Q74" s="10">
        <v>-1.5886807545272901</v>
      </c>
      <c r="R74" s="13"/>
      <c r="S74" s="8">
        <v>1.5707963267949001</v>
      </c>
      <c r="T74" s="13"/>
      <c r="U74" s="13">
        <f t="shared" si="8"/>
        <v>0</v>
      </c>
      <c r="V74" s="13">
        <f t="shared" si="9"/>
        <v>19.145861598201691</v>
      </c>
      <c r="W74" s="13">
        <f t="shared" si="10"/>
        <v>19.145861598201691</v>
      </c>
      <c r="X74" s="13">
        <f t="shared" si="11"/>
        <v>-1.024702228073096</v>
      </c>
      <c r="Z74" t="str">
        <f t="shared" si="12"/>
        <v>42,28.8</v>
      </c>
      <c r="AA74" t="str">
        <f t="shared" si="13"/>
        <v>51.0633802840728,20.4223997377302</v>
      </c>
      <c r="AB74" t="str">
        <f t="shared" si="14"/>
        <v>51.1699969636059,20.1051287866713</v>
      </c>
      <c r="AC74" t="str">
        <f t="shared" si="15"/>
        <v>39.5353525868901,35.5521661248309</v>
      </c>
    </row>
    <row r="75" spans="2:29" x14ac:dyDescent="0.2">
      <c r="B75" s="3">
        <v>73</v>
      </c>
      <c r="C75" s="6">
        <v>42</v>
      </c>
      <c r="D75" s="6">
        <v>30.6</v>
      </c>
      <c r="E75" s="8">
        <v>1.5707963267949001</v>
      </c>
      <c r="F75" s="7"/>
      <c r="G75" s="10">
        <v>51.653733781247297</v>
      </c>
      <c r="H75" s="10">
        <v>22.122835784270599</v>
      </c>
      <c r="I75" s="10">
        <v>-1.2366380037751299</v>
      </c>
      <c r="K75" s="10">
        <v>51.760350460780302</v>
      </c>
      <c r="L75" s="10">
        <v>21.805564833211701</v>
      </c>
      <c r="M75" s="10">
        <v>-1.2815117317246201</v>
      </c>
      <c r="N75" s="13"/>
      <c r="O75" s="10">
        <v>39.5031623330594</v>
      </c>
      <c r="P75" s="10">
        <v>37.351878265023998</v>
      </c>
      <c r="Q75" s="10">
        <v>-1.60082434845915</v>
      </c>
      <c r="R75" s="13"/>
      <c r="S75" s="8">
        <v>1.5707963267949001</v>
      </c>
      <c r="T75" s="13"/>
      <c r="U75" s="13">
        <f t="shared" si="8"/>
        <v>0</v>
      </c>
      <c r="V75" s="13">
        <f t="shared" si="9"/>
        <v>19.145861598201691</v>
      </c>
      <c r="W75" s="13">
        <f t="shared" si="10"/>
        <v>16.574786375677661</v>
      </c>
      <c r="X75" s="13">
        <f t="shared" si="11"/>
        <v>-1.720478908489298</v>
      </c>
      <c r="Z75" t="str">
        <f t="shared" si="12"/>
        <v>42,30.6</v>
      </c>
      <c r="AA75" t="str">
        <f t="shared" si="13"/>
        <v>51.6537337812473,22.1228357842706</v>
      </c>
      <c r="AB75" t="str">
        <f t="shared" si="14"/>
        <v>51.7603504607803,21.8055648332117</v>
      </c>
      <c r="AC75" t="str">
        <f t="shared" si="15"/>
        <v>39.5031623330594,37.351878265024</v>
      </c>
    </row>
    <row r="76" spans="2:29" x14ac:dyDescent="0.2">
      <c r="B76" s="3">
        <v>74</v>
      </c>
      <c r="C76" s="6">
        <v>42</v>
      </c>
      <c r="D76" s="6">
        <v>32.4</v>
      </c>
      <c r="E76" s="8">
        <v>1.5707963267949001</v>
      </c>
      <c r="F76" s="7"/>
      <c r="G76" s="10">
        <v>52.244087278421702</v>
      </c>
      <c r="H76" s="10">
        <v>23.823271830810999</v>
      </c>
      <c r="I76" s="10">
        <v>-1.2815117317246201</v>
      </c>
      <c r="K76" s="10">
        <v>52.2738303760515</v>
      </c>
      <c r="L76" s="10">
        <v>23.530771596649899</v>
      </c>
      <c r="M76" s="10">
        <v>-1.3497554020157501</v>
      </c>
      <c r="N76" s="13"/>
      <c r="O76" s="10">
        <v>39.449120016416302</v>
      </c>
      <c r="P76" s="10">
        <v>39.151066812122899</v>
      </c>
      <c r="Q76" s="10">
        <v>-1.9909940085214299</v>
      </c>
      <c r="R76" s="13"/>
      <c r="S76" s="8">
        <v>1.5707963267949001</v>
      </c>
      <c r="T76" s="13"/>
      <c r="U76" s="13">
        <f t="shared" si="8"/>
        <v>0</v>
      </c>
      <c r="V76" s="13">
        <f t="shared" si="9"/>
        <v>16.574786375677661</v>
      </c>
      <c r="W76" s="13">
        <f t="shared" si="10"/>
        <v>12.664712089513586</v>
      </c>
      <c r="X76" s="13">
        <f t="shared" si="11"/>
        <v>-24.075553724111984</v>
      </c>
      <c r="Z76" t="str">
        <f t="shared" si="12"/>
        <v>42,32.4</v>
      </c>
      <c r="AA76" t="str">
        <f t="shared" si="13"/>
        <v>52.2440872784217,23.823271830811</v>
      </c>
      <c r="AB76" t="str">
        <f t="shared" si="14"/>
        <v>52.2738303760515,23.5307715966499</v>
      </c>
      <c r="AC76" t="str">
        <f t="shared" si="15"/>
        <v>39.4491200164163,39.1510668121229</v>
      </c>
    </row>
    <row r="77" spans="2:29" x14ac:dyDescent="0.2">
      <c r="B77" s="3">
        <v>75</v>
      </c>
      <c r="C77" s="6">
        <v>42</v>
      </c>
      <c r="D77" s="6">
        <v>34.200000000000003</v>
      </c>
      <c r="E77" s="8">
        <v>1.5707963267949001</v>
      </c>
      <c r="F77" s="7"/>
      <c r="G77" s="10">
        <v>52.7575671936929</v>
      </c>
      <c r="H77" s="10">
        <v>25.5484785942493</v>
      </c>
      <c r="I77" s="10">
        <v>-1.3497554020157501</v>
      </c>
      <c r="K77" s="10">
        <v>52.668471988961898</v>
      </c>
      <c r="L77" s="10">
        <v>25.286977164731098</v>
      </c>
      <c r="M77" s="10">
        <v>-1.25389809463891</v>
      </c>
      <c r="N77" s="13"/>
      <c r="O77" s="10">
        <v>38.714826313455397</v>
      </c>
      <c r="P77" s="10">
        <v>40.794481780349798</v>
      </c>
      <c r="Q77" s="10">
        <v>-1.5517874921406101</v>
      </c>
      <c r="R77" s="13"/>
      <c r="S77" s="8">
        <v>1.5707963267949001</v>
      </c>
      <c r="T77" s="13"/>
      <c r="U77" s="13">
        <f t="shared" si="8"/>
        <v>0</v>
      </c>
      <c r="V77" s="13">
        <f t="shared" si="9"/>
        <v>12.664712089513586</v>
      </c>
      <c r="W77" s="13">
        <f t="shared" si="10"/>
        <v>18.156931237694778</v>
      </c>
      <c r="X77" s="13">
        <f t="shared" si="11"/>
        <v>1.0891259991524294</v>
      </c>
      <c r="Z77" t="str">
        <f t="shared" si="12"/>
        <v>42,34.2</v>
      </c>
      <c r="AA77" t="str">
        <f t="shared" si="13"/>
        <v>52.7575671936929,25.5484785942493</v>
      </c>
      <c r="AB77" t="str">
        <f t="shared" si="14"/>
        <v>52.6684719889619,25.2869771647311</v>
      </c>
      <c r="AC77" t="str">
        <f t="shared" si="15"/>
        <v>38.7148263134554,40.7944817803498</v>
      </c>
    </row>
    <row r="78" spans="2:29" x14ac:dyDescent="0.2">
      <c r="B78" s="3">
        <v>76</v>
      </c>
      <c r="C78" s="6">
        <v>42</v>
      </c>
      <c r="D78" s="6">
        <v>36</v>
      </c>
      <c r="E78" s="8">
        <v>1.5707963267949001</v>
      </c>
      <c r="F78" s="7"/>
      <c r="G78" s="10">
        <v>53.152208806603298</v>
      </c>
      <c r="H78" s="10">
        <v>27.304684162330499</v>
      </c>
      <c r="I78" s="10">
        <v>-2.0040132460467599</v>
      </c>
      <c r="K78" s="10">
        <v>53.229389328567898</v>
      </c>
      <c r="L78" s="10">
        <v>26.997348977562901</v>
      </c>
      <c r="M78" s="10">
        <v>-2.0040132460467599</v>
      </c>
      <c r="N78" s="13"/>
      <c r="O78" s="10">
        <v>38.749040155298701</v>
      </c>
      <c r="P78" s="10">
        <v>42.594156587926499</v>
      </c>
      <c r="Q78" s="10">
        <v>-2.5383437515103902</v>
      </c>
      <c r="R78" s="13"/>
      <c r="S78" s="8">
        <v>1.5707963267949001</v>
      </c>
      <c r="T78" s="13"/>
      <c r="U78" s="13">
        <f t="shared" si="8"/>
        <v>0</v>
      </c>
      <c r="V78" s="13">
        <f t="shared" si="9"/>
        <v>-24.821501086791756</v>
      </c>
      <c r="W78" s="13">
        <f t="shared" si="10"/>
        <v>-24.821501086791756</v>
      </c>
      <c r="X78" s="13">
        <f t="shared" si="11"/>
        <v>-55.436383914949744</v>
      </c>
      <c r="Z78" t="str">
        <f t="shared" si="12"/>
        <v>42,36</v>
      </c>
      <c r="AA78" t="str">
        <f t="shared" si="13"/>
        <v>53.1522088066033,27.3046841623305</v>
      </c>
      <c r="AB78" t="str">
        <f t="shared" si="14"/>
        <v>53.2293893285679,26.9973489775629</v>
      </c>
      <c r="AC78" t="str">
        <f t="shared" si="15"/>
        <v>38.7490401552987,42.5941565879265</v>
      </c>
    </row>
    <row r="79" spans="2:29" x14ac:dyDescent="0.2">
      <c r="B79" s="3">
        <v>77</v>
      </c>
      <c r="C79" s="6">
        <v>42</v>
      </c>
      <c r="D79" s="6">
        <v>37.799999999999997</v>
      </c>
      <c r="E79" s="8">
        <v>1.5707963267949001</v>
      </c>
      <c r="F79" s="7"/>
      <c r="G79" s="10">
        <v>52.396581928965198</v>
      </c>
      <c r="H79" s="10">
        <v>28.938400178592499</v>
      </c>
      <c r="I79" s="10">
        <v>-1.3317994459215201</v>
      </c>
      <c r="K79" s="10">
        <v>52.473762450929897</v>
      </c>
      <c r="L79" s="10">
        <v>28.6310649938249</v>
      </c>
      <c r="M79" s="10">
        <v>-1.3317994459215201</v>
      </c>
      <c r="N79" s="13"/>
      <c r="O79" s="10">
        <v>37.266745925782601</v>
      </c>
      <c r="P79" s="10">
        <v>43.615334249816598</v>
      </c>
      <c r="Q79" s="10">
        <v>-1.6639784722570901</v>
      </c>
      <c r="R79" s="13"/>
      <c r="S79" s="8">
        <v>1.5707963267949001</v>
      </c>
      <c r="T79" s="13"/>
      <c r="U79" s="13">
        <f t="shared" si="8"/>
        <v>0</v>
      </c>
      <c r="V79" s="13">
        <f t="shared" si="9"/>
        <v>13.693512590835155</v>
      </c>
      <c r="W79" s="13">
        <f t="shared" si="10"/>
        <v>13.693512590835155</v>
      </c>
      <c r="X79" s="13">
        <f t="shared" si="11"/>
        <v>-5.3389436609579946</v>
      </c>
      <c r="Z79" t="str">
        <f t="shared" si="12"/>
        <v>42,37.8</v>
      </c>
      <c r="AA79" t="str">
        <f t="shared" si="13"/>
        <v>52.3965819289652,28.9384001785925</v>
      </c>
      <c r="AB79" t="str">
        <f t="shared" si="14"/>
        <v>52.4737624509299,28.6310649938249</v>
      </c>
      <c r="AC79" t="str">
        <f t="shared" si="15"/>
        <v>37.2667459257826,43.6153342498166</v>
      </c>
    </row>
    <row r="80" spans="2:29" x14ac:dyDescent="0.2">
      <c r="B80" s="3">
        <v>78</v>
      </c>
      <c r="C80" s="6">
        <v>42</v>
      </c>
      <c r="D80" s="6">
        <v>39.6</v>
      </c>
      <c r="E80" s="8">
        <v>1.5707963267949001</v>
      </c>
      <c r="F80" s="7"/>
      <c r="G80" s="10">
        <v>52.822692579697403</v>
      </c>
      <c r="H80" s="10">
        <v>30.687236852879799</v>
      </c>
      <c r="I80" s="10">
        <v>-1.21023330571233</v>
      </c>
      <c r="K80" s="10">
        <v>52.899873101662102</v>
      </c>
      <c r="L80" s="10">
        <v>30.3799016681123</v>
      </c>
      <c r="M80" s="10">
        <v>-1.21023330571233</v>
      </c>
      <c r="N80" s="13"/>
      <c r="O80" s="10">
        <v>37.099260686310402</v>
      </c>
      <c r="P80" s="10">
        <v>45.407525281642997</v>
      </c>
      <c r="Q80" s="10">
        <v>-1.57158647468653</v>
      </c>
      <c r="R80" s="13"/>
      <c r="S80" s="8">
        <v>1.5707963267949001</v>
      </c>
      <c r="T80" s="13"/>
      <c r="U80" s="13">
        <f t="shared" si="8"/>
        <v>0</v>
      </c>
      <c r="V80" s="13">
        <f t="shared" si="9"/>
        <v>20.658739356517401</v>
      </c>
      <c r="W80" s="13">
        <f t="shared" si="10"/>
        <v>20.658739356517401</v>
      </c>
      <c r="X80" s="13">
        <f t="shared" si="11"/>
        <v>-4.5272139381950183E-2</v>
      </c>
      <c r="Z80" t="str">
        <f t="shared" si="12"/>
        <v>42,39.6</v>
      </c>
      <c r="AA80" t="str">
        <f t="shared" si="13"/>
        <v>52.8226925796974,30.6872368528798</v>
      </c>
      <c r="AB80" t="str">
        <f t="shared" si="14"/>
        <v>52.8998731016621,30.3799016681123</v>
      </c>
      <c r="AC80" t="str">
        <f t="shared" si="15"/>
        <v>37.0992606863104,45.407525281643</v>
      </c>
    </row>
    <row r="81" spans="2:29" x14ac:dyDescent="0.2">
      <c r="B81" s="3">
        <v>79</v>
      </c>
      <c r="C81" s="6">
        <v>42</v>
      </c>
      <c r="D81" s="6">
        <v>41.4</v>
      </c>
      <c r="E81" s="8">
        <v>1.5707963267949001</v>
      </c>
      <c r="F81" s="7"/>
      <c r="G81" s="10">
        <v>53.457734572398103</v>
      </c>
      <c r="H81" s="10">
        <v>32.371493860437397</v>
      </c>
      <c r="I81" s="10">
        <v>-1.21023330571233</v>
      </c>
      <c r="K81" s="10">
        <v>53.534915094362702</v>
      </c>
      <c r="L81" s="10">
        <v>32.064158675669802</v>
      </c>
      <c r="M81" s="10">
        <v>-1.18952775610269</v>
      </c>
      <c r="N81" s="13"/>
      <c r="O81" s="10">
        <v>37.097838420253503</v>
      </c>
      <c r="P81" s="10">
        <v>47.2075247197427</v>
      </c>
      <c r="Q81" s="10">
        <v>-1.60967710312849</v>
      </c>
      <c r="R81" s="13"/>
      <c r="S81" s="8">
        <v>1.5707963267949001</v>
      </c>
      <c r="T81" s="13"/>
      <c r="U81" s="13">
        <f t="shared" si="8"/>
        <v>0</v>
      </c>
      <c r="V81" s="13">
        <f t="shared" si="9"/>
        <v>20.658739356517401</v>
      </c>
      <c r="W81" s="13">
        <f t="shared" si="10"/>
        <v>21.845079961648509</v>
      </c>
      <c r="X81" s="13">
        <f t="shared" si="11"/>
        <v>-2.2277043881072416</v>
      </c>
      <c r="Z81" t="str">
        <f t="shared" si="12"/>
        <v>42,41.4</v>
      </c>
      <c r="AA81" t="str">
        <f t="shared" si="13"/>
        <v>53.4577345723981,32.3714938604374</v>
      </c>
      <c r="AB81" t="str">
        <f t="shared" si="14"/>
        <v>53.5349150943627,32.0641586756698</v>
      </c>
      <c r="AC81" t="str">
        <f t="shared" si="15"/>
        <v>37.0978384202535,47.2075247197427</v>
      </c>
    </row>
    <row r="82" spans="2:29" x14ac:dyDescent="0.2">
      <c r="B82" s="3">
        <v>80</v>
      </c>
      <c r="C82" s="6">
        <v>42</v>
      </c>
      <c r="D82" s="6">
        <v>43.2</v>
      </c>
      <c r="E82" s="8">
        <v>1.5707963267949001</v>
      </c>
      <c r="F82" s="7"/>
      <c r="G82" s="10">
        <v>54.092776565098703</v>
      </c>
      <c r="H82" s="10">
        <v>34.055750867995002</v>
      </c>
      <c r="I82" s="10">
        <v>-1.18952775610269</v>
      </c>
      <c r="K82" s="10">
        <v>54.204691939648001</v>
      </c>
      <c r="L82" s="10">
        <v>33.7349067050027</v>
      </c>
      <c r="M82" s="10">
        <v>-1.1063894627156301</v>
      </c>
      <c r="N82" s="13"/>
      <c r="O82" s="10">
        <v>37.0278706545134</v>
      </c>
      <c r="P82" s="10">
        <v>49.006164347838698</v>
      </c>
      <c r="Q82" s="10">
        <v>-1.4711711139311301</v>
      </c>
      <c r="R82" s="13"/>
      <c r="S82" s="8">
        <v>1.5707963267949001</v>
      </c>
      <c r="T82" s="13"/>
      <c r="U82" s="13">
        <f t="shared" si="8"/>
        <v>0</v>
      </c>
      <c r="V82" s="13">
        <f t="shared" si="9"/>
        <v>21.845079961648509</v>
      </c>
      <c r="W82" s="13">
        <f t="shared" si="10"/>
        <v>26.608553288647443</v>
      </c>
      <c r="X82" s="13">
        <f t="shared" si="11"/>
        <v>5.7081042301860236</v>
      </c>
      <c r="Z82" t="str">
        <f t="shared" si="12"/>
        <v>42,43.2</v>
      </c>
      <c r="AA82" t="str">
        <f t="shared" si="13"/>
        <v>54.0927765650987,34.055750867995</v>
      </c>
      <c r="AB82" t="str">
        <f t="shared" si="14"/>
        <v>54.204691939648,33.7349067050027</v>
      </c>
      <c r="AC82" t="str">
        <f t="shared" si="15"/>
        <v>37.0278706545134,49.0061643478387</v>
      </c>
    </row>
    <row r="83" spans="2:29" x14ac:dyDescent="0.2">
      <c r="B83" s="3">
        <v>81</v>
      </c>
      <c r="C83" s="6">
        <v>42</v>
      </c>
      <c r="D83" s="6">
        <v>45</v>
      </c>
      <c r="E83" s="8">
        <v>1.5707963267949001</v>
      </c>
      <c r="F83" s="7"/>
      <c r="G83" s="10">
        <v>54.762553410384001</v>
      </c>
      <c r="H83" s="10">
        <v>35.7264988973279</v>
      </c>
      <c r="I83" s="10">
        <v>-1.1063894627156301</v>
      </c>
      <c r="K83" s="10">
        <v>55.0108985565033</v>
      </c>
      <c r="L83" s="10">
        <v>35.3442639962649</v>
      </c>
      <c r="M83" s="10">
        <v>-1.0869666646643901</v>
      </c>
      <c r="N83" s="13"/>
      <c r="O83" s="10">
        <v>37.206899545301603</v>
      </c>
      <c r="P83" s="10">
        <v>50.7972390688549</v>
      </c>
      <c r="Q83" s="10">
        <v>-1.4659084168848799</v>
      </c>
      <c r="R83" s="13"/>
      <c r="S83" s="8">
        <v>1.5707963267949001</v>
      </c>
      <c r="T83" s="13"/>
      <c r="U83" s="13">
        <f t="shared" si="8"/>
        <v>0</v>
      </c>
      <c r="V83" s="13">
        <f t="shared" si="9"/>
        <v>26.608553288647443</v>
      </c>
      <c r="W83" s="13">
        <f t="shared" si="10"/>
        <v>27.721397643318426</v>
      </c>
      <c r="X83" s="13">
        <f t="shared" si="11"/>
        <v>6.0096345597921186</v>
      </c>
      <c r="Z83" t="str">
        <f t="shared" si="12"/>
        <v>42,45</v>
      </c>
      <c r="AA83" t="str">
        <f t="shared" si="13"/>
        <v>54.762553410384,35.7264988973279</v>
      </c>
      <c r="AB83" t="str">
        <f t="shared" si="14"/>
        <v>55.0108985565033,35.3442639962649</v>
      </c>
      <c r="AC83" t="str">
        <f t="shared" si="15"/>
        <v>37.2068995453016,50.7972390688549</v>
      </c>
    </row>
    <row r="84" spans="2:29" x14ac:dyDescent="0.2">
      <c r="B84" s="3">
        <v>82</v>
      </c>
      <c r="C84" s="6">
        <v>42</v>
      </c>
      <c r="D84" s="6">
        <v>46.8</v>
      </c>
      <c r="E84" s="8">
        <v>1.5707963267949001</v>
      </c>
      <c r="F84" s="7"/>
      <c r="G84" s="10">
        <v>55.5687600272392</v>
      </c>
      <c r="H84" s="10">
        <v>37.3358561885901</v>
      </c>
      <c r="I84" s="10">
        <v>-1.0869666646643901</v>
      </c>
      <c r="K84" s="10">
        <v>55.848209365759999</v>
      </c>
      <c r="L84" s="10">
        <v>36.937659932214899</v>
      </c>
      <c r="M84" s="10">
        <v>-1.1716507061653001</v>
      </c>
      <c r="N84" s="13"/>
      <c r="O84" s="10">
        <v>37.395351797039403</v>
      </c>
      <c r="P84" s="10">
        <v>52.587346816677602</v>
      </c>
      <c r="Q84" s="10">
        <v>-1.45779819165699</v>
      </c>
      <c r="R84" s="13"/>
      <c r="S84" s="8">
        <v>1.5707963267949001</v>
      </c>
      <c r="T84" s="13"/>
      <c r="U84" s="13">
        <f t="shared" si="8"/>
        <v>0</v>
      </c>
      <c r="V84" s="13">
        <f t="shared" si="9"/>
        <v>27.721397643318426</v>
      </c>
      <c r="W84" s="13">
        <f t="shared" si="10"/>
        <v>22.869359473205549</v>
      </c>
      <c r="X84" s="13">
        <f t="shared" si="11"/>
        <v>6.4743162362507576</v>
      </c>
      <c r="Z84" t="str">
        <f t="shared" si="12"/>
        <v>42,46.8</v>
      </c>
      <c r="AA84" t="str">
        <f t="shared" si="13"/>
        <v>55.5687600272392,37.3358561885901</v>
      </c>
      <c r="AB84" t="str">
        <f t="shared" si="14"/>
        <v>55.84820936576,36.9376599322149</v>
      </c>
      <c r="AC84" t="str">
        <f t="shared" si="15"/>
        <v>37.3953517970394,52.5873468166776</v>
      </c>
    </row>
    <row r="85" spans="2:29" x14ac:dyDescent="0.2">
      <c r="B85" s="3">
        <v>83</v>
      </c>
      <c r="C85" s="6">
        <v>42</v>
      </c>
      <c r="D85" s="6">
        <v>48.6</v>
      </c>
      <c r="E85" s="8">
        <v>1.5707963267949001</v>
      </c>
      <c r="F85" s="7"/>
      <c r="G85" s="10">
        <v>56.406070836495999</v>
      </c>
      <c r="H85" s="10">
        <v>38.92925212454</v>
      </c>
      <c r="I85" s="10">
        <v>-1.27431948757603</v>
      </c>
      <c r="K85" s="10">
        <v>56.547745642330803</v>
      </c>
      <c r="L85" s="10">
        <v>38.596167996036499</v>
      </c>
      <c r="M85" s="10">
        <v>-1.27431948757603</v>
      </c>
      <c r="N85" s="13"/>
      <c r="O85" s="10">
        <v>37.598315868876902</v>
      </c>
      <c r="P85" s="10">
        <v>54.375867318529103</v>
      </c>
      <c r="Q85" s="10">
        <v>-1.6083829371927001</v>
      </c>
      <c r="R85" s="13"/>
      <c r="S85" s="8">
        <v>1.5707963267949001</v>
      </c>
      <c r="T85" s="13"/>
      <c r="U85" s="13">
        <f t="shared" si="8"/>
        <v>0</v>
      </c>
      <c r="V85" s="13">
        <f t="shared" si="9"/>
        <v>16.986871610619517</v>
      </c>
      <c r="W85" s="13">
        <f>(M85-S85)*180/PI()+180</f>
        <v>16.986871610619517</v>
      </c>
      <c r="X85" s="13">
        <f t="shared" si="11"/>
        <v>-2.1535541419968638</v>
      </c>
      <c r="Z85" t="str">
        <f t="shared" si="12"/>
        <v>42,48.6</v>
      </c>
      <c r="AA85" t="str">
        <f t="shared" si="13"/>
        <v>56.406070836496,38.92925212454</v>
      </c>
      <c r="AB85" t="str">
        <f t="shared" si="14"/>
        <v>56.5477456423308,38.5961679960365</v>
      </c>
      <c r="AC85" t="str">
        <f t="shared" si="15"/>
        <v>37.5983158688769,54.3758673185291</v>
      </c>
    </row>
    <row r="86" spans="2:29" x14ac:dyDescent="0.2">
      <c r="B86" s="3">
        <v>84</v>
      </c>
      <c r="C86" s="6">
        <v>42</v>
      </c>
      <c r="D86" s="6">
        <v>50.4</v>
      </c>
      <c r="E86" s="8">
        <v>1.5707963267949001</v>
      </c>
      <c r="F86" s="7"/>
      <c r="G86" s="10">
        <v>56.931945472357903</v>
      </c>
      <c r="H86" s="10">
        <v>40.650721226022</v>
      </c>
      <c r="I86" s="10">
        <v>-1.27431948757603</v>
      </c>
      <c r="K86" s="10">
        <v>57.073620278192699</v>
      </c>
      <c r="L86" s="10">
        <v>40.317637097518499</v>
      </c>
      <c r="M86" s="10">
        <v>-1.18911828146572</v>
      </c>
      <c r="N86" s="13"/>
      <c r="O86" s="10">
        <v>37.530675899217798</v>
      </c>
      <c r="P86" s="10">
        <v>56.174595990259299</v>
      </c>
      <c r="Q86" s="10">
        <v>-1.84809066245494</v>
      </c>
      <c r="R86" s="13"/>
      <c r="S86" s="8">
        <v>1.5707963267949001</v>
      </c>
      <c r="T86" s="13"/>
      <c r="U86" s="13">
        <f t="shared" si="8"/>
        <v>0</v>
      </c>
      <c r="V86" s="13">
        <f t="shared" si="9"/>
        <v>16.986871610619517</v>
      </c>
      <c r="W86" s="13">
        <f t="shared" ref="W86:W141" si="16">(M86-S86)*180/PI()+180</f>
        <v>21.868541130164544</v>
      </c>
      <c r="X86" s="13">
        <f t="shared" si="11"/>
        <v>-15.887795116204671</v>
      </c>
      <c r="Z86" t="str">
        <f t="shared" si="12"/>
        <v>42,50.4</v>
      </c>
      <c r="AA86" t="str">
        <f t="shared" si="13"/>
        <v>56.9319454723579,40.650721226022</v>
      </c>
      <c r="AB86" t="str">
        <f t="shared" si="14"/>
        <v>57.0736202781927,40.3176370975185</v>
      </c>
      <c r="AC86" t="str">
        <f t="shared" si="15"/>
        <v>37.5306758992178,56.1745959902593</v>
      </c>
    </row>
    <row r="87" spans="2:29" x14ac:dyDescent="0.2">
      <c r="B87" s="3">
        <v>85</v>
      </c>
      <c r="C87" s="6">
        <v>42</v>
      </c>
      <c r="D87" s="6">
        <v>52.2</v>
      </c>
      <c r="E87" s="8">
        <v>1.5707963267949001</v>
      </c>
      <c r="F87" s="7"/>
      <c r="G87" s="10">
        <v>57.457820108219899</v>
      </c>
      <c r="H87" s="10">
        <v>42.372190327503901</v>
      </c>
      <c r="I87" s="10">
        <v>-1.07684739832611</v>
      </c>
      <c r="K87" s="10">
        <v>57.744081196251102</v>
      </c>
      <c r="L87" s="10">
        <v>41.988110730161701</v>
      </c>
      <c r="M87" s="10">
        <v>-1.07684739832611</v>
      </c>
      <c r="N87" s="13"/>
      <c r="O87" s="10">
        <v>37.037918075046299</v>
      </c>
      <c r="P87" s="10">
        <v>57.9058353517336</v>
      </c>
      <c r="Q87" s="10">
        <v>-1.38781013819573</v>
      </c>
      <c r="R87" s="13"/>
      <c r="S87" s="8">
        <v>1.5707963267949001</v>
      </c>
      <c r="T87" s="13"/>
      <c r="U87" s="13">
        <f t="shared" si="8"/>
        <v>0</v>
      </c>
      <c r="V87" s="13">
        <f t="shared" si="9"/>
        <v>28.301188896270673</v>
      </c>
      <c r="W87" s="13">
        <f t="shared" si="16"/>
        <v>28.301188896270673</v>
      </c>
      <c r="X87" s="13">
        <f t="shared" si="11"/>
        <v>10.48433631591692</v>
      </c>
      <c r="Z87" t="str">
        <f t="shared" si="12"/>
        <v>42,52.2</v>
      </c>
      <c r="AA87" t="str">
        <f t="shared" si="13"/>
        <v>57.4578201082199,42.3721903275039</v>
      </c>
      <c r="AB87" t="str">
        <f t="shared" si="14"/>
        <v>57.7440811962511,41.9881107301617</v>
      </c>
      <c r="AC87" t="str">
        <f t="shared" si="15"/>
        <v>37.0379180750463,57.9058353517336</v>
      </c>
    </row>
    <row r="88" spans="2:29" x14ac:dyDescent="0.2">
      <c r="B88" s="3">
        <v>86</v>
      </c>
      <c r="C88" s="6">
        <v>42</v>
      </c>
      <c r="D88" s="6">
        <v>54</v>
      </c>
      <c r="E88" s="8">
        <v>1.5707963267949001</v>
      </c>
      <c r="F88" s="7"/>
      <c r="G88" s="10">
        <v>58.311211770394799</v>
      </c>
      <c r="H88" s="10">
        <v>43.957031856152902</v>
      </c>
      <c r="I88" s="10">
        <v>-1.07684739832611</v>
      </c>
      <c r="K88" s="10">
        <v>58.597472858426102</v>
      </c>
      <c r="L88" s="10">
        <v>43.572952258810702</v>
      </c>
      <c r="M88" s="10">
        <v>-1.0630180957267601</v>
      </c>
      <c r="N88" s="13"/>
      <c r="O88" s="10">
        <v>37.3654581596101</v>
      </c>
      <c r="P88" s="10">
        <v>59.675783795334098</v>
      </c>
      <c r="Q88" s="10">
        <v>-1.3690547388740699</v>
      </c>
      <c r="R88" s="13"/>
      <c r="S88" s="8">
        <v>1.5707963267949001</v>
      </c>
      <c r="T88" s="13"/>
      <c r="U88" s="13">
        <f t="shared" si="8"/>
        <v>0</v>
      </c>
      <c r="V88" s="13">
        <f t="shared" si="9"/>
        <v>28.301188896270673</v>
      </c>
      <c r="W88" s="13">
        <f t="shared" si="16"/>
        <v>29.093549568822709</v>
      </c>
      <c r="X88" s="13">
        <f t="shared" si="11"/>
        <v>11.558941540130604</v>
      </c>
      <c r="Z88" t="str">
        <f t="shared" si="12"/>
        <v>42,54</v>
      </c>
      <c r="AA88" t="str">
        <f t="shared" si="13"/>
        <v>58.3112117703948,43.9570318561529</v>
      </c>
      <c r="AB88" t="str">
        <f t="shared" si="14"/>
        <v>58.5974728584261,43.5729522588107</v>
      </c>
      <c r="AC88" t="str">
        <f t="shared" si="15"/>
        <v>37.3654581596101,59.6757837953341</v>
      </c>
    </row>
    <row r="89" spans="2:29" x14ac:dyDescent="0.2">
      <c r="B89" s="3">
        <v>87</v>
      </c>
      <c r="C89" s="6">
        <v>42</v>
      </c>
      <c r="D89" s="6">
        <v>55.8</v>
      </c>
      <c r="E89" s="8">
        <v>1.5707963267949001</v>
      </c>
      <c r="F89" s="7"/>
      <c r="G89" s="10">
        <v>59.164603432569699</v>
      </c>
      <c r="H89" s="10">
        <v>45.541873384801796</v>
      </c>
      <c r="I89" s="10">
        <v>-1.3772026629432701</v>
      </c>
      <c r="K89" s="10">
        <v>59.472699470957501</v>
      </c>
      <c r="L89" s="10">
        <v>45.145840804358897</v>
      </c>
      <c r="M89" s="10">
        <v>-1.3772026629432701</v>
      </c>
      <c r="N89" s="13"/>
      <c r="O89" s="10">
        <v>37.726134780961999</v>
      </c>
      <c r="P89" s="10">
        <v>61.439278160170701</v>
      </c>
      <c r="Q89" s="10">
        <v>-1.9671081342535</v>
      </c>
      <c r="R89" s="13"/>
      <c r="S89" s="8">
        <v>1.5707963267949001</v>
      </c>
      <c r="T89" s="13"/>
      <c r="U89" s="13">
        <f t="shared" si="8"/>
        <v>0</v>
      </c>
      <c r="V89" s="13">
        <f t="shared" si="9"/>
        <v>11.092099879172366</v>
      </c>
      <c r="W89" s="13">
        <f t="shared" si="16"/>
        <v>11.092099879172366</v>
      </c>
      <c r="X89" s="13">
        <f t="shared" si="11"/>
        <v>-22.706993938579501</v>
      </c>
      <c r="Z89" t="str">
        <f t="shared" si="12"/>
        <v>42,55.8</v>
      </c>
      <c r="AA89" t="str">
        <f t="shared" si="13"/>
        <v>59.1646034325697,45.5418733848018</v>
      </c>
      <c r="AB89" t="str">
        <f t="shared" si="14"/>
        <v>59.4726994709575,45.1458408043589</v>
      </c>
      <c r="AC89" t="str">
        <f t="shared" si="15"/>
        <v>37.726134780962,61.4392781601707</v>
      </c>
    </row>
    <row r="90" spans="2:29" x14ac:dyDescent="0.2">
      <c r="B90" s="3">
        <v>88</v>
      </c>
      <c r="C90" s="6">
        <v>42</v>
      </c>
      <c r="D90" s="6">
        <v>57.6</v>
      </c>
      <c r="E90" s="8">
        <v>1.5707963267949001</v>
      </c>
      <c r="F90" s="7"/>
      <c r="G90" s="10">
        <v>59.510899422373903</v>
      </c>
      <c r="H90" s="10">
        <v>47.3082479451501</v>
      </c>
      <c r="I90" s="10">
        <v>-1.2360709616880601</v>
      </c>
      <c r="K90" s="10">
        <v>59.818995460761698</v>
      </c>
      <c r="L90" s="10">
        <v>46.912215364707102</v>
      </c>
      <c r="M90" s="10">
        <v>-1.2360709616880601</v>
      </c>
      <c r="N90" s="13"/>
      <c r="O90" s="10">
        <v>37.031301208906399</v>
      </c>
      <c r="P90" s="10">
        <v>63.099761917135602</v>
      </c>
      <c r="Q90" s="10">
        <v>-1.7994117077696501</v>
      </c>
      <c r="R90" s="13"/>
      <c r="S90" s="8">
        <v>1.5707963267949001</v>
      </c>
      <c r="T90" s="13"/>
      <c r="U90" s="13">
        <f t="shared" si="8"/>
        <v>0</v>
      </c>
      <c r="V90" s="13">
        <f t="shared" si="9"/>
        <v>19.178350716597066</v>
      </c>
      <c r="W90" s="13">
        <f t="shared" si="16"/>
        <v>19.178350716597066</v>
      </c>
      <c r="X90" s="13">
        <f t="shared" si="11"/>
        <v>-13.098696461629004</v>
      </c>
      <c r="Z90" t="str">
        <f t="shared" si="12"/>
        <v>42,57.6</v>
      </c>
      <c r="AA90" t="str">
        <f t="shared" si="13"/>
        <v>59.5108994223739,47.3082479451501</v>
      </c>
      <c r="AB90" t="str">
        <f t="shared" si="14"/>
        <v>59.8189954607617,46.9122153647071</v>
      </c>
      <c r="AC90" t="str">
        <f t="shared" si="15"/>
        <v>37.0313012089064,63.0997619171356</v>
      </c>
    </row>
    <row r="91" spans="2:29" x14ac:dyDescent="0.2">
      <c r="B91" s="3">
        <v>89</v>
      </c>
      <c r="C91" s="6">
        <v>42</v>
      </c>
      <c r="D91" s="6">
        <v>59.4</v>
      </c>
      <c r="E91" s="8">
        <v>1.5707963267949001</v>
      </c>
      <c r="F91" s="7"/>
      <c r="G91" s="10">
        <v>60.102217043391299</v>
      </c>
      <c r="H91" s="10">
        <v>49.008348963053002</v>
      </c>
      <c r="I91" s="10">
        <v>-1.70247102329662</v>
      </c>
      <c r="K91" s="10">
        <v>60.410313081779101</v>
      </c>
      <c r="L91" s="10">
        <v>48.612316382609997</v>
      </c>
      <c r="M91" s="10">
        <v>-1.70247102329662</v>
      </c>
      <c r="N91" s="13"/>
      <c r="O91" s="10">
        <v>36.623368741758703</v>
      </c>
      <c r="P91" s="10">
        <v>64.852927939578095</v>
      </c>
      <c r="Q91" s="10">
        <v>-1.93071210991108</v>
      </c>
      <c r="R91" s="13"/>
      <c r="S91" s="8">
        <v>1.5707963267949001</v>
      </c>
      <c r="T91" s="13"/>
      <c r="U91" s="13">
        <f t="shared" si="8"/>
        <v>0</v>
      </c>
      <c r="V91" s="13">
        <f t="shared" si="9"/>
        <v>-7.5444043782149777</v>
      </c>
      <c r="W91" s="13">
        <f t="shared" si="16"/>
        <v>-7.5444043782149777</v>
      </c>
      <c r="X91" s="13">
        <f>(Q91-S91)*180/PI()+180</f>
        <v>-20.621655352703414</v>
      </c>
      <c r="Z91" t="str">
        <f t="shared" si="12"/>
        <v>42,59.4</v>
      </c>
      <c r="AA91" t="str">
        <f t="shared" si="13"/>
        <v>60.1022170433913,49.008348963053</v>
      </c>
      <c r="AB91" t="str">
        <f t="shared" si="14"/>
        <v>60.4103130817791,48.61231638261</v>
      </c>
      <c r="AC91" t="str">
        <f t="shared" si="15"/>
        <v>36.6233687417587,64.8529279395781</v>
      </c>
    </row>
    <row r="92" spans="2:29" x14ac:dyDescent="0.2">
      <c r="B92" s="3">
        <v>90</v>
      </c>
      <c r="C92" s="6">
        <v>42</v>
      </c>
      <c r="D92" s="6">
        <v>61.2</v>
      </c>
      <c r="E92" s="8">
        <v>1.5707963267949001</v>
      </c>
      <c r="F92" s="7"/>
      <c r="G92" s="10">
        <v>59.865886897866297</v>
      </c>
      <c r="H92" s="10">
        <v>50.792767092953</v>
      </c>
      <c r="I92" s="10">
        <v>-2.4633022378100602</v>
      </c>
      <c r="K92" s="10">
        <v>60.173982936253999</v>
      </c>
      <c r="L92" s="10">
        <v>50.396734512510101</v>
      </c>
      <c r="M92" s="10">
        <v>-2.4633022378100602</v>
      </c>
      <c r="N92" s="13"/>
      <c r="O92" s="10">
        <v>35.989416997077299</v>
      </c>
      <c r="P92" s="10">
        <v>66.537595617612993</v>
      </c>
      <c r="Q92" s="10">
        <v>-2.70009523820986</v>
      </c>
      <c r="R92" s="13"/>
      <c r="S92" s="8">
        <v>1.5707963267949001</v>
      </c>
      <c r="T92" s="13"/>
      <c r="U92" s="13">
        <f t="shared" si="8"/>
        <v>0</v>
      </c>
      <c r="V92" s="13">
        <f t="shared" si="9"/>
        <v>-51.136821891647685</v>
      </c>
      <c r="W92" s="13">
        <f t="shared" si="16"/>
        <v>-51.136821891647685</v>
      </c>
      <c r="X92" s="13">
        <f t="shared" ref="X92:X141" si="17">(Q92-S92)*180/PI()+180</f>
        <v>-64.704061432795839</v>
      </c>
      <c r="Z92" t="str">
        <f t="shared" si="12"/>
        <v>42,61.2</v>
      </c>
      <c r="AA92" t="str">
        <f t="shared" si="13"/>
        <v>59.8658868978663,50.792767092953</v>
      </c>
      <c r="AB92" t="str">
        <f t="shared" si="14"/>
        <v>60.173982936254,50.3967345125101</v>
      </c>
      <c r="AC92" t="str">
        <f t="shared" si="15"/>
        <v>35.9894169970773,66.537595617613</v>
      </c>
    </row>
    <row r="93" spans="2:29" x14ac:dyDescent="0.2">
      <c r="B93" s="3">
        <v>91</v>
      </c>
      <c r="C93" s="6">
        <v>42</v>
      </c>
      <c r="D93" s="6">
        <v>61.2</v>
      </c>
      <c r="E93" s="8">
        <v>0</v>
      </c>
      <c r="F93" s="7"/>
      <c r="G93" s="10">
        <v>59.865886897866297</v>
      </c>
      <c r="H93" s="10">
        <v>50.792767092953</v>
      </c>
      <c r="I93" s="10">
        <v>-2.78974429409495</v>
      </c>
      <c r="K93" s="10">
        <v>60.173982936253999</v>
      </c>
      <c r="L93" s="10">
        <v>50.396734512510101</v>
      </c>
      <c r="M93" s="10">
        <v>-2.78974429409495</v>
      </c>
      <c r="N93" s="13"/>
      <c r="O93" s="10">
        <v>35.989416997077299</v>
      </c>
      <c r="P93" s="10">
        <v>66.537595617612993</v>
      </c>
      <c r="Q93" s="10">
        <v>-3.0218958998425398</v>
      </c>
      <c r="R93" s="13"/>
      <c r="S93" s="8">
        <v>0</v>
      </c>
      <c r="T93" s="13"/>
      <c r="U93" s="13">
        <f t="shared" si="8"/>
        <v>0</v>
      </c>
      <c r="V93" s="13">
        <f t="shared" si="9"/>
        <v>20.159426027656252</v>
      </c>
      <c r="W93" s="13">
        <f t="shared" si="16"/>
        <v>20.159426027656252</v>
      </c>
      <c r="X93" s="13">
        <f t="shared" si="17"/>
        <v>6.8581188111343465</v>
      </c>
      <c r="Z93" t="str">
        <f t="shared" si="12"/>
        <v>42,61.2</v>
      </c>
      <c r="AA93" t="str">
        <f t="shared" si="13"/>
        <v>59.8658868978663,50.792767092953</v>
      </c>
      <c r="AB93" t="str">
        <f t="shared" si="14"/>
        <v>60.173982936254,50.3967345125101</v>
      </c>
      <c r="AC93" t="str">
        <f t="shared" si="15"/>
        <v>35.9894169970773,66.537595617613</v>
      </c>
    </row>
    <row r="94" spans="2:29" x14ac:dyDescent="0.2">
      <c r="B94" s="3">
        <v>92</v>
      </c>
      <c r="C94" s="6">
        <v>41.16</v>
      </c>
      <c r="D94" s="6">
        <v>61.2</v>
      </c>
      <c r="E94" s="8">
        <v>0</v>
      </c>
      <c r="F94" s="7"/>
      <c r="G94" s="10">
        <v>59.077347557349803</v>
      </c>
      <c r="H94" s="10">
        <v>51.0822592490779</v>
      </c>
      <c r="I94" s="10">
        <v>-2.78974429409495</v>
      </c>
      <c r="K94" s="10">
        <v>59.385443595737598</v>
      </c>
      <c r="L94" s="10">
        <v>50.686226668635001</v>
      </c>
      <c r="M94" s="10">
        <v>-2.8762354026631698</v>
      </c>
      <c r="N94" s="13"/>
      <c r="O94" s="10">
        <v>35.155427287391497</v>
      </c>
      <c r="P94" s="10">
        <v>66.637900972097199</v>
      </c>
      <c r="Q94" s="10">
        <v>-3.10739339924478</v>
      </c>
      <c r="R94" s="13"/>
      <c r="S94" s="8">
        <v>0</v>
      </c>
      <c r="T94" s="13"/>
      <c r="U94" s="13">
        <f t="shared" si="8"/>
        <v>0</v>
      </c>
      <c r="V94" s="13">
        <f t="shared" si="9"/>
        <v>20.159426027656252</v>
      </c>
      <c r="W94" s="13">
        <f t="shared" si="16"/>
        <v>15.203850541289484</v>
      </c>
      <c r="X94" s="13">
        <f t="shared" si="17"/>
        <v>1.9594729364636976</v>
      </c>
      <c r="Z94" t="str">
        <f t="shared" si="12"/>
        <v>41.16,61.2</v>
      </c>
      <c r="AA94" t="str">
        <f t="shared" si="13"/>
        <v>59.0773475573498,51.0822592490779</v>
      </c>
      <c r="AB94" t="str">
        <f t="shared" si="14"/>
        <v>59.3854435957376,50.686226668635</v>
      </c>
      <c r="AC94" t="str">
        <f t="shared" si="15"/>
        <v>35.1554272873915,66.6379009720972</v>
      </c>
    </row>
    <row r="95" spans="2:29" x14ac:dyDescent="0.2">
      <c r="B95" s="3">
        <v>93</v>
      </c>
      <c r="C95" s="6">
        <v>40.32</v>
      </c>
      <c r="D95" s="6">
        <v>61.2</v>
      </c>
      <c r="E95" s="8">
        <v>0</v>
      </c>
      <c r="F95" s="7"/>
      <c r="G95" s="10">
        <v>58.288808216833303</v>
      </c>
      <c r="H95" s="10">
        <v>51.371751405202801</v>
      </c>
      <c r="I95" s="10">
        <v>-3.14159265358979</v>
      </c>
      <c r="K95" s="10">
        <v>58.574844543284399</v>
      </c>
      <c r="L95" s="10">
        <v>50.906520055194797</v>
      </c>
      <c r="M95" s="10">
        <v>-2.81484756987054</v>
      </c>
      <c r="N95" s="13"/>
      <c r="O95" s="10">
        <v>34.315918466894601</v>
      </c>
      <c r="P95" s="10">
        <v>66.666622746204496</v>
      </c>
      <c r="Q95" s="10">
        <v>3.1010824441239602</v>
      </c>
      <c r="R95" s="13"/>
      <c r="S95" s="8">
        <v>0</v>
      </c>
      <c r="T95" s="13"/>
      <c r="U95" s="13">
        <f t="shared" si="8"/>
        <v>0</v>
      </c>
      <c r="V95" s="13">
        <f t="shared" si="9"/>
        <v>0</v>
      </c>
      <c r="W95" s="13">
        <f t="shared" si="16"/>
        <v>18.721114273761941</v>
      </c>
      <c r="X95" s="13">
        <f t="shared" si="17"/>
        <v>357.67893597041683</v>
      </c>
      <c r="Z95" t="str">
        <f t="shared" si="12"/>
        <v>40.32,61.2</v>
      </c>
      <c r="AA95" t="str">
        <f t="shared" si="13"/>
        <v>58.2888082168333,51.3717514052028</v>
      </c>
      <c r="AB95" t="str">
        <f t="shared" si="14"/>
        <v>58.5748445432844,50.9065200551948</v>
      </c>
      <c r="AC95" t="str">
        <f t="shared" si="15"/>
        <v>34.3159184668946,66.6666227462045</v>
      </c>
    </row>
    <row r="96" spans="2:29" x14ac:dyDescent="0.2">
      <c r="B96" s="3">
        <v>94</v>
      </c>
      <c r="C96" s="6">
        <v>39.479999999999997</v>
      </c>
      <c r="D96" s="6">
        <v>61.2</v>
      </c>
      <c r="E96" s="8">
        <v>0</v>
      </c>
      <c r="F96" s="7"/>
      <c r="G96" s="10">
        <v>57.448808216833299</v>
      </c>
      <c r="H96" s="10">
        <v>51.371751405202801</v>
      </c>
      <c r="I96" s="10">
        <v>-2.65621416301423</v>
      </c>
      <c r="K96" s="10">
        <v>57.779287210208302</v>
      </c>
      <c r="L96" s="10">
        <v>51.1761281592808</v>
      </c>
      <c r="M96" s="10">
        <v>-2.65621416301423</v>
      </c>
      <c r="N96" s="13"/>
      <c r="O96" s="10">
        <v>33.476607625009898</v>
      </c>
      <c r="P96" s="10">
        <v>66.632603476742105</v>
      </c>
      <c r="Q96" s="10">
        <v>-2.8000827635754999</v>
      </c>
      <c r="R96" s="13"/>
      <c r="S96" s="8">
        <v>0</v>
      </c>
      <c r="T96" s="13"/>
      <c r="U96" s="13">
        <f t="shared" si="8"/>
        <v>0</v>
      </c>
      <c r="V96" s="13">
        <f t="shared" si="9"/>
        <v>27.810138976410173</v>
      </c>
      <c r="W96" s="13">
        <f t="shared" si="16"/>
        <v>27.810138976410173</v>
      </c>
      <c r="X96" s="13">
        <f t="shared" si="17"/>
        <v>19.56707535979595</v>
      </c>
      <c r="Z96" t="str">
        <f t="shared" si="12"/>
        <v>39.48,61.2</v>
      </c>
      <c r="AA96" t="str">
        <f t="shared" si="13"/>
        <v>57.4488082168333,51.3717514052028</v>
      </c>
      <c r="AB96" t="str">
        <f t="shared" si="14"/>
        <v>57.7792872102083,51.1761281592808</v>
      </c>
      <c r="AC96" t="str">
        <f t="shared" si="15"/>
        <v>33.4766076250099,66.6326034767421</v>
      </c>
    </row>
    <row r="97" spans="2:29" x14ac:dyDescent="0.2">
      <c r="B97" s="3">
        <v>95</v>
      </c>
      <c r="C97" s="6">
        <v>38.64</v>
      </c>
      <c r="D97" s="6">
        <v>61.2</v>
      </c>
      <c r="E97" s="8">
        <v>0</v>
      </c>
      <c r="F97" s="7"/>
      <c r="G97" s="10">
        <v>56.705829535402003</v>
      </c>
      <c r="H97" s="10">
        <v>51.763647665632298</v>
      </c>
      <c r="I97" s="10">
        <v>-2.65621416301423</v>
      </c>
      <c r="K97" s="10">
        <v>57.036308528776999</v>
      </c>
      <c r="L97" s="10">
        <v>51.568024419710298</v>
      </c>
      <c r="M97" s="10">
        <v>-2.6400861212066902</v>
      </c>
      <c r="N97" s="13"/>
      <c r="O97" s="10">
        <v>32.685117572712599</v>
      </c>
      <c r="P97" s="10">
        <v>66.913928017290004</v>
      </c>
      <c r="Q97" s="10">
        <v>-3.04518791248202</v>
      </c>
      <c r="R97" s="13"/>
      <c r="S97" s="8">
        <v>0</v>
      </c>
      <c r="T97" s="13"/>
      <c r="U97" s="13">
        <f t="shared" si="8"/>
        <v>0</v>
      </c>
      <c r="V97" s="13">
        <f t="shared" si="9"/>
        <v>27.810138976410173</v>
      </c>
      <c r="W97" s="13">
        <f t="shared" si="16"/>
        <v>28.734207703792748</v>
      </c>
      <c r="X97" s="13">
        <f t="shared" si="17"/>
        <v>5.5235847905267406</v>
      </c>
      <c r="Z97" t="str">
        <f t="shared" si="12"/>
        <v>38.64,61.2</v>
      </c>
      <c r="AA97" t="str">
        <f t="shared" si="13"/>
        <v>56.705829535402,51.7636476656323</v>
      </c>
      <c r="AB97" t="str">
        <f t="shared" si="14"/>
        <v>57.036308528777,51.5680244197103</v>
      </c>
      <c r="AC97" t="str">
        <f t="shared" si="15"/>
        <v>32.6851175727126,66.91392801729</v>
      </c>
    </row>
    <row r="98" spans="2:29" x14ac:dyDescent="0.2">
      <c r="B98" s="3">
        <v>96</v>
      </c>
      <c r="C98" s="6">
        <v>37.799999999999997</v>
      </c>
      <c r="D98" s="6">
        <v>61.2</v>
      </c>
      <c r="E98" s="8">
        <v>0</v>
      </c>
      <c r="F98" s="7"/>
      <c r="G98" s="10">
        <v>55.9628508539707</v>
      </c>
      <c r="H98" s="10">
        <v>52.155543926061803</v>
      </c>
      <c r="I98" s="10">
        <v>-2.6400861212066902</v>
      </c>
      <c r="K98" s="10">
        <v>56.299746719997202</v>
      </c>
      <c r="L98" s="10">
        <v>51.971851984206602</v>
      </c>
      <c r="M98" s="10">
        <v>-2.62135689549162</v>
      </c>
      <c r="N98" s="13"/>
      <c r="O98" s="10">
        <v>31.849017977610998</v>
      </c>
      <c r="P98" s="10">
        <v>66.994782621803196</v>
      </c>
      <c r="Q98" s="10">
        <v>-2.7882621658024598</v>
      </c>
      <c r="R98" s="13"/>
      <c r="S98" s="8">
        <v>0</v>
      </c>
      <c r="T98" s="13"/>
      <c r="U98" s="13">
        <f t="shared" si="8"/>
        <v>0</v>
      </c>
      <c r="V98" s="13">
        <f t="shared" si="9"/>
        <v>28.734207703792748</v>
      </c>
      <c r="W98" s="13">
        <f t="shared" si="16"/>
        <v>29.807313290814164</v>
      </c>
      <c r="X98" s="13">
        <f t="shared" si="17"/>
        <v>20.244345723512879</v>
      </c>
      <c r="Z98" t="str">
        <f t="shared" si="12"/>
        <v>37.8,61.2</v>
      </c>
      <c r="AA98" t="str">
        <f t="shared" si="13"/>
        <v>55.9628508539707,52.1555439260618</v>
      </c>
      <c r="AB98" t="str">
        <f t="shared" si="14"/>
        <v>56.2997467199972,51.9718519842066</v>
      </c>
      <c r="AC98" t="str">
        <f t="shared" si="15"/>
        <v>31.849017977611,66.9947826218032</v>
      </c>
    </row>
    <row r="99" spans="2:29" x14ac:dyDescent="0.2">
      <c r="B99" s="3">
        <v>97</v>
      </c>
      <c r="C99" s="6">
        <v>36.96</v>
      </c>
      <c r="D99" s="6">
        <v>61.2</v>
      </c>
      <c r="E99" s="8">
        <v>0</v>
      </c>
      <c r="F99" s="7"/>
      <c r="G99" s="10">
        <v>55.226289045190903</v>
      </c>
      <c r="H99" s="10">
        <v>52.559371490558199</v>
      </c>
      <c r="I99" s="10">
        <v>-2.62135689549162</v>
      </c>
      <c r="K99" s="10">
        <v>55.570877029879497</v>
      </c>
      <c r="L99" s="10">
        <v>52.389403148529901</v>
      </c>
      <c r="M99" s="10">
        <v>-2.7076121826509998</v>
      </c>
      <c r="N99" s="13"/>
      <c r="O99" s="10">
        <v>31.0609085675462</v>
      </c>
      <c r="P99" s="10">
        <v>67.285443176002303</v>
      </c>
      <c r="Q99" s="10">
        <v>-2.9585945970926502</v>
      </c>
      <c r="R99" s="13"/>
      <c r="S99" s="8">
        <v>0</v>
      </c>
      <c r="T99" s="13"/>
      <c r="U99" s="13">
        <f t="shared" si="8"/>
        <v>0</v>
      </c>
      <c r="V99" s="13">
        <f t="shared" si="9"/>
        <v>29.807313290814164</v>
      </c>
      <c r="W99" s="13">
        <f t="shared" si="16"/>
        <v>24.865249375892716</v>
      </c>
      <c r="X99" s="13">
        <f t="shared" si="17"/>
        <v>10.485016296382867</v>
      </c>
      <c r="Z99" t="str">
        <f t="shared" si="12"/>
        <v>36.96,61.2</v>
      </c>
      <c r="AA99" t="str">
        <f t="shared" si="13"/>
        <v>55.2262890451909,52.5593714905582</v>
      </c>
      <c r="AB99" t="str">
        <f t="shared" si="14"/>
        <v>55.5708770298795,52.3894031485299</v>
      </c>
      <c r="AC99" t="str">
        <f t="shared" si="15"/>
        <v>31.0609085675462,67.2854431760023</v>
      </c>
    </row>
    <row r="100" spans="2:29" x14ac:dyDescent="0.2">
      <c r="B100" s="3">
        <v>98</v>
      </c>
      <c r="C100" s="6">
        <v>36.119999999999997</v>
      </c>
      <c r="D100" s="6">
        <v>61.2</v>
      </c>
      <c r="E100" s="8">
        <v>0</v>
      </c>
      <c r="F100" s="7"/>
      <c r="G100" s="10">
        <v>54.497419355073198</v>
      </c>
      <c r="H100" s="10">
        <v>52.976922654881399</v>
      </c>
      <c r="I100" s="10">
        <v>-2.7076121826509998</v>
      </c>
      <c r="K100" s="10">
        <v>54.808745692591103</v>
      </c>
      <c r="L100" s="10">
        <v>52.742611054334702</v>
      </c>
      <c r="M100" s="10">
        <v>-2.69887620728369</v>
      </c>
      <c r="N100" s="13"/>
      <c r="O100" s="10">
        <v>30.234934441289901</v>
      </c>
      <c r="P100" s="10">
        <v>67.438305018052802</v>
      </c>
      <c r="Q100" s="10">
        <v>-2.9469126492041302</v>
      </c>
      <c r="R100" s="13"/>
      <c r="S100" s="8">
        <v>0</v>
      </c>
      <c r="T100" s="13"/>
      <c r="U100" s="13">
        <f t="shared" si="8"/>
        <v>0</v>
      </c>
      <c r="V100" s="13">
        <f t="shared" si="9"/>
        <v>24.865249375892716</v>
      </c>
      <c r="W100" s="13">
        <f t="shared" si="16"/>
        <v>25.365783894369827</v>
      </c>
      <c r="X100" s="13">
        <f t="shared" si="17"/>
        <v>11.154342606886871</v>
      </c>
      <c r="Z100" t="str">
        <f t="shared" si="12"/>
        <v>36.12,61.2</v>
      </c>
      <c r="AA100" t="str">
        <f t="shared" si="13"/>
        <v>54.4974193550732,52.9769226548814</v>
      </c>
      <c r="AB100" t="str">
        <f t="shared" si="14"/>
        <v>54.8087456925911,52.7426110543347</v>
      </c>
      <c r="AC100" t="str">
        <f t="shared" si="15"/>
        <v>30.2349344412899,67.4383050180528</v>
      </c>
    </row>
    <row r="101" spans="2:29" x14ac:dyDescent="0.2">
      <c r="B101" s="3">
        <v>99</v>
      </c>
      <c r="C101" s="6">
        <v>35.28</v>
      </c>
      <c r="D101" s="6">
        <v>61.2</v>
      </c>
      <c r="E101" s="8">
        <v>0</v>
      </c>
      <c r="F101" s="7"/>
      <c r="G101" s="10">
        <v>53.735288017784903</v>
      </c>
      <c r="H101" s="10">
        <v>53.3301305606863</v>
      </c>
      <c r="I101" s="10">
        <v>-2.8038056149441899</v>
      </c>
      <c r="K101" s="10">
        <v>54.0497290133248</v>
      </c>
      <c r="L101" s="10">
        <v>53.102463358197902</v>
      </c>
      <c r="M101" s="10">
        <v>-2.8038056149441899</v>
      </c>
      <c r="N101" s="13"/>
      <c r="O101" s="10">
        <v>29.410802357330098</v>
      </c>
      <c r="P101" s="10">
        <v>67.600805197092996</v>
      </c>
      <c r="Q101" s="10">
        <v>-3.0405857479377101</v>
      </c>
      <c r="R101" s="13"/>
      <c r="S101" s="8">
        <v>0</v>
      </c>
      <c r="T101" s="13"/>
      <c r="U101" s="13">
        <f t="shared" si="8"/>
        <v>0</v>
      </c>
      <c r="V101" s="13">
        <f t="shared" si="9"/>
        <v>19.353771688615495</v>
      </c>
      <c r="W101" s="13">
        <f t="shared" si="16"/>
        <v>19.353771688615495</v>
      </c>
      <c r="X101" s="13">
        <f t="shared" si="17"/>
        <v>5.787269395540477</v>
      </c>
      <c r="Z101" t="str">
        <f t="shared" si="12"/>
        <v>35.28,61.2</v>
      </c>
      <c r="AA101" t="str">
        <f t="shared" si="13"/>
        <v>53.7352880177849,53.3301305606863</v>
      </c>
      <c r="AB101" t="str">
        <f t="shared" si="14"/>
        <v>54.0497290133248,53.1024633581979</v>
      </c>
      <c r="AC101" t="str">
        <f t="shared" si="15"/>
        <v>29.4108023573301,67.600805197093</v>
      </c>
    </row>
    <row r="102" spans="2:29" x14ac:dyDescent="0.2">
      <c r="B102" s="3">
        <v>100</v>
      </c>
      <c r="C102" s="6">
        <v>34.44</v>
      </c>
      <c r="D102" s="6">
        <v>61.2</v>
      </c>
      <c r="E102" s="8">
        <v>0</v>
      </c>
      <c r="F102" s="7"/>
      <c r="G102" s="10">
        <v>52.942756123326298</v>
      </c>
      <c r="H102" s="10">
        <v>53.608506558692397</v>
      </c>
      <c r="I102" s="10">
        <v>-2.8038056149441899</v>
      </c>
      <c r="K102" s="10">
        <v>53.257197118866301</v>
      </c>
      <c r="L102" s="10">
        <v>53.380839356204</v>
      </c>
      <c r="M102" s="10">
        <v>-2.75831530418938</v>
      </c>
      <c r="N102" s="13"/>
      <c r="O102" s="10">
        <v>28.575083721354201</v>
      </c>
      <c r="P102" s="10">
        <v>67.685506799690003</v>
      </c>
      <c r="Q102" s="10">
        <v>-2.9766262668269698</v>
      </c>
      <c r="R102" s="13"/>
      <c r="S102" s="8">
        <v>0</v>
      </c>
      <c r="T102" s="13"/>
      <c r="U102" s="13">
        <f t="shared" si="8"/>
        <v>0</v>
      </c>
      <c r="V102" s="13">
        <f t="shared" si="9"/>
        <v>19.353771688615495</v>
      </c>
      <c r="W102" s="13">
        <f t="shared" si="16"/>
        <v>21.960174503604691</v>
      </c>
      <c r="X102" s="13">
        <f t="shared" si="17"/>
        <v>9.4518777230325952</v>
      </c>
      <c r="Z102" t="str">
        <f t="shared" si="12"/>
        <v>34.44,61.2</v>
      </c>
      <c r="AA102" t="str">
        <f t="shared" si="13"/>
        <v>52.9427561233263,53.6085065586924</v>
      </c>
      <c r="AB102" t="str">
        <f t="shared" si="14"/>
        <v>53.2571971188663,53.380839356204</v>
      </c>
      <c r="AC102" t="str">
        <f t="shared" si="15"/>
        <v>28.5750837213542,67.68550679969</v>
      </c>
    </row>
    <row r="103" spans="2:29" x14ac:dyDescent="0.2">
      <c r="B103" s="3">
        <v>101</v>
      </c>
      <c r="C103" s="6">
        <v>33.6</v>
      </c>
      <c r="D103" s="6">
        <v>61.2</v>
      </c>
      <c r="E103" s="8">
        <v>0</v>
      </c>
      <c r="F103" s="7"/>
      <c r="G103" s="10">
        <v>52.1502242288677</v>
      </c>
      <c r="H103" s="10">
        <v>53.886882556698502</v>
      </c>
      <c r="I103" s="10">
        <v>-2.75831530418938</v>
      </c>
      <c r="K103" s="10">
        <v>52.478144146789703</v>
      </c>
      <c r="L103" s="10">
        <v>53.694967461757599</v>
      </c>
      <c r="M103" s="10">
        <v>-2.7883607561917199</v>
      </c>
      <c r="N103" s="13"/>
      <c r="O103" s="10">
        <v>27.746487665647201</v>
      </c>
      <c r="P103" s="10">
        <v>67.823450906004197</v>
      </c>
      <c r="Q103" s="10">
        <v>-3.0133456727305101</v>
      </c>
      <c r="R103" s="13"/>
      <c r="S103" s="8">
        <v>0</v>
      </c>
      <c r="T103" s="13"/>
      <c r="U103" s="13">
        <f t="shared" si="8"/>
        <v>0</v>
      </c>
      <c r="V103" s="13">
        <f t="shared" si="9"/>
        <v>21.960174503604691</v>
      </c>
      <c r="W103" s="13">
        <f t="shared" si="16"/>
        <v>20.238696910307738</v>
      </c>
      <c r="X103" s="13">
        <f t="shared" si="17"/>
        <v>7.3480107385319684</v>
      </c>
      <c r="Z103" t="str">
        <f t="shared" si="12"/>
        <v>33.6,61.2</v>
      </c>
      <c r="AA103" t="str">
        <f t="shared" si="13"/>
        <v>52.1502242288677,53.8868825566985</v>
      </c>
      <c r="AB103" t="str">
        <f t="shared" si="14"/>
        <v>52.4781441467897,53.6949674617576</v>
      </c>
      <c r="AC103" t="str">
        <f t="shared" si="15"/>
        <v>27.7464876656472,67.8234509060042</v>
      </c>
    </row>
    <row r="104" spans="2:29" x14ac:dyDescent="0.2">
      <c r="B104" s="3">
        <v>102</v>
      </c>
      <c r="C104" s="6">
        <v>32.76</v>
      </c>
      <c r="D104" s="6">
        <v>61.2</v>
      </c>
      <c r="E104" s="8">
        <v>0</v>
      </c>
      <c r="F104" s="7"/>
      <c r="G104" s="10">
        <v>51.3711712567912</v>
      </c>
      <c r="H104" s="10">
        <v>54.201010662252102</v>
      </c>
      <c r="I104" s="10">
        <v>-2.7883607561917199</v>
      </c>
      <c r="K104" s="10">
        <v>51.690006084217998</v>
      </c>
      <c r="L104" s="10">
        <v>53.985550314530599</v>
      </c>
      <c r="M104" s="10">
        <v>-2.7362620513831399</v>
      </c>
      <c r="N104" s="13"/>
      <c r="O104" s="10">
        <v>26.913386063873201</v>
      </c>
      <c r="P104" s="10">
        <v>67.930883308572604</v>
      </c>
      <c r="Q104" s="10">
        <v>-2.9939444146877099</v>
      </c>
      <c r="R104" s="13"/>
      <c r="S104" s="8">
        <v>0</v>
      </c>
      <c r="T104" s="13"/>
      <c r="U104" s="13">
        <f t="shared" si="8"/>
        <v>0</v>
      </c>
      <c r="V104" s="13">
        <f t="shared" si="9"/>
        <v>20.238696910307738</v>
      </c>
      <c r="W104" s="13">
        <f t="shared" si="16"/>
        <v>23.223732813937261</v>
      </c>
      <c r="X104" s="13">
        <f t="shared" si="17"/>
        <v>8.4596209416286854</v>
      </c>
      <c r="Z104" t="str">
        <f t="shared" si="12"/>
        <v>32.76,61.2</v>
      </c>
      <c r="AA104" t="str">
        <f t="shared" si="13"/>
        <v>51.3711712567912,54.2010106622521</v>
      </c>
      <c r="AB104" t="str">
        <f t="shared" si="14"/>
        <v>51.690006084218,53.9855503145306</v>
      </c>
      <c r="AC104" t="str">
        <f t="shared" si="15"/>
        <v>26.9133860638732,67.9308833085726</v>
      </c>
    </row>
    <row r="105" spans="2:29" x14ac:dyDescent="0.2">
      <c r="B105" s="3">
        <v>103</v>
      </c>
      <c r="C105" s="6">
        <v>31.92</v>
      </c>
      <c r="D105" s="6">
        <v>61.2</v>
      </c>
      <c r="E105" s="8">
        <v>0</v>
      </c>
      <c r="F105" s="7"/>
      <c r="G105" s="10">
        <v>50.583033194219503</v>
      </c>
      <c r="H105" s="10">
        <v>54.491593515025102</v>
      </c>
      <c r="I105" s="10">
        <v>-2.6145259049507499</v>
      </c>
      <c r="K105" s="10">
        <v>50.918069534104397</v>
      </c>
      <c r="L105" s="10">
        <v>54.316781295265699</v>
      </c>
      <c r="M105" s="10">
        <v>-2.6145259049507499</v>
      </c>
      <c r="N105" s="13"/>
      <c r="O105" s="10">
        <v>26.082525443581101</v>
      </c>
      <c r="P105" s="10">
        <v>68.054457697698297</v>
      </c>
      <c r="Q105" s="10">
        <v>-2.8414976613126601</v>
      </c>
      <c r="R105" s="13"/>
      <c r="S105" s="8">
        <v>0</v>
      </c>
      <c r="T105" s="13"/>
      <c r="U105" s="13">
        <f t="shared" si="8"/>
        <v>0</v>
      </c>
      <c r="V105" s="13">
        <f t="shared" si="9"/>
        <v>30.198700218699798</v>
      </c>
      <c r="W105" s="13">
        <f t="shared" si="16"/>
        <v>30.198700218699798</v>
      </c>
      <c r="X105" s="13">
        <f t="shared" si="17"/>
        <v>17.194176510490735</v>
      </c>
      <c r="Z105" t="str">
        <f t="shared" si="12"/>
        <v>31.92,61.2</v>
      </c>
      <c r="AA105" t="str">
        <f t="shared" si="13"/>
        <v>50.5830331942195,54.4915935150251</v>
      </c>
      <c r="AB105" t="str">
        <f t="shared" si="14"/>
        <v>50.9180695341044,54.3167812952657</v>
      </c>
      <c r="AC105" t="str">
        <f t="shared" si="15"/>
        <v>26.0825254435811,68.0544576976983</v>
      </c>
    </row>
    <row r="106" spans="2:29" x14ac:dyDescent="0.2">
      <c r="B106" s="3">
        <v>104</v>
      </c>
      <c r="C106" s="6">
        <v>31.08</v>
      </c>
      <c r="D106" s="6">
        <v>61.2</v>
      </c>
      <c r="E106" s="8">
        <v>0</v>
      </c>
      <c r="F106" s="7"/>
      <c r="G106" s="10">
        <v>49.857032775323098</v>
      </c>
      <c r="H106" s="10">
        <v>54.914113800647399</v>
      </c>
      <c r="I106" s="10">
        <v>-2.7543419387389698</v>
      </c>
      <c r="K106" s="10">
        <v>50.192069115208099</v>
      </c>
      <c r="L106" s="10">
        <v>54.739301580887997</v>
      </c>
      <c r="M106" s="10">
        <v>-2.7543419387389698</v>
      </c>
      <c r="N106" s="13"/>
      <c r="O106" s="10">
        <v>25.280066376931501</v>
      </c>
      <c r="P106" s="10">
        <v>68.302770899828104</v>
      </c>
      <c r="Q106" s="10">
        <v>-2.99135544919596</v>
      </c>
      <c r="R106" s="13"/>
      <c r="S106" s="8">
        <v>0</v>
      </c>
      <c r="T106" s="13"/>
      <c r="U106" s="13">
        <f t="shared" si="8"/>
        <v>0</v>
      </c>
      <c r="V106" s="13">
        <f t="shared" si="9"/>
        <v>22.187831574376276</v>
      </c>
      <c r="W106" s="13">
        <f t="shared" si="16"/>
        <v>22.187831574376276</v>
      </c>
      <c r="X106" s="13">
        <f t="shared" si="17"/>
        <v>8.6079577376109455</v>
      </c>
      <c r="Z106" t="str">
        <f t="shared" si="12"/>
        <v>31.08,61.2</v>
      </c>
      <c r="AA106" t="str">
        <f t="shared" si="13"/>
        <v>49.8570327753231,54.9141138006474</v>
      </c>
      <c r="AB106" t="str">
        <f t="shared" si="14"/>
        <v>50.1920691152081,54.739301580888</v>
      </c>
      <c r="AC106" t="str">
        <f t="shared" si="15"/>
        <v>25.2800663769315,68.3027708998281</v>
      </c>
    </row>
    <row r="107" spans="2:29" x14ac:dyDescent="0.2">
      <c r="B107" s="3">
        <v>105</v>
      </c>
      <c r="C107" s="6">
        <v>30.24</v>
      </c>
      <c r="D107" s="6">
        <v>61.2</v>
      </c>
      <c r="E107" s="8">
        <v>0</v>
      </c>
      <c r="F107" s="7"/>
      <c r="G107" s="10">
        <v>49.0792340954171</v>
      </c>
      <c r="H107" s="10">
        <v>55.231334880553</v>
      </c>
      <c r="I107" s="10">
        <v>-2.7543419387389698</v>
      </c>
      <c r="K107" s="10">
        <v>49.414270435302001</v>
      </c>
      <c r="L107" s="10">
        <v>55.056522660793497</v>
      </c>
      <c r="M107" s="10">
        <v>-2.7934885006497598</v>
      </c>
      <c r="N107" s="13"/>
      <c r="O107" s="10">
        <v>24.4495284706319</v>
      </c>
      <c r="P107" s="10">
        <v>68.428495941881707</v>
      </c>
      <c r="Q107" s="10">
        <v>-3.0326817002265698</v>
      </c>
      <c r="R107" s="13"/>
      <c r="S107" s="8">
        <v>0</v>
      </c>
      <c r="T107" s="13"/>
      <c r="U107" s="13">
        <f t="shared" si="8"/>
        <v>0</v>
      </c>
      <c r="V107" s="13">
        <f t="shared" si="9"/>
        <v>22.187831574376276</v>
      </c>
      <c r="W107" s="13">
        <f t="shared" si="16"/>
        <v>19.944898794440434</v>
      </c>
      <c r="X107" s="13">
        <f t="shared" si="17"/>
        <v>6.2401379704588464</v>
      </c>
      <c r="Z107" t="str">
        <f t="shared" si="12"/>
        <v>30.24,61.2</v>
      </c>
      <c r="AA107" t="str">
        <f t="shared" si="13"/>
        <v>49.0792340954171,55.231334880553</v>
      </c>
      <c r="AB107" t="str">
        <f t="shared" si="14"/>
        <v>49.414270435302,55.0565226607935</v>
      </c>
      <c r="AC107" t="str">
        <f t="shared" si="15"/>
        <v>24.4495284706319,68.4284959418817</v>
      </c>
    </row>
    <row r="108" spans="2:29" x14ac:dyDescent="0.2">
      <c r="B108" s="3">
        <v>106</v>
      </c>
      <c r="C108" s="6">
        <v>29.4</v>
      </c>
      <c r="D108" s="6">
        <v>61.2</v>
      </c>
      <c r="E108" s="8">
        <v>0</v>
      </c>
      <c r="F108" s="7"/>
      <c r="G108" s="10">
        <v>48.301435415511101</v>
      </c>
      <c r="H108" s="10">
        <v>55.548555960458501</v>
      </c>
      <c r="I108" s="10">
        <v>-2.7934885006497598</v>
      </c>
      <c r="K108" s="10">
        <v>48.624652706182303</v>
      </c>
      <c r="L108" s="10">
        <v>55.343060340444502</v>
      </c>
      <c r="M108" s="10">
        <v>-2.7962363612470398</v>
      </c>
      <c r="N108" s="13"/>
      <c r="O108" s="10">
        <v>23.6145054183878</v>
      </c>
      <c r="P108" s="10">
        <v>68.519800389862496</v>
      </c>
      <c r="Q108" s="10">
        <v>-3.0221550437978801</v>
      </c>
      <c r="R108" s="13"/>
      <c r="S108" s="8">
        <v>0</v>
      </c>
      <c r="T108" s="13"/>
      <c r="U108" s="13">
        <f t="shared" si="8"/>
        <v>0</v>
      </c>
      <c r="V108" s="13">
        <f t="shared" si="9"/>
        <v>19.944898794440434</v>
      </c>
      <c r="W108" s="13">
        <f t="shared" si="16"/>
        <v>19.787457979525982</v>
      </c>
      <c r="X108" s="13">
        <f t="shared" si="17"/>
        <v>6.8432709562070215</v>
      </c>
      <c r="Z108" t="str">
        <f t="shared" si="12"/>
        <v>29.4,61.2</v>
      </c>
      <c r="AA108" t="str">
        <f t="shared" si="13"/>
        <v>48.3014354155111,55.5485559604585</v>
      </c>
      <c r="AB108" t="str">
        <f t="shared" si="14"/>
        <v>48.6246527061823,55.3430603404445</v>
      </c>
      <c r="AC108" t="str">
        <f t="shared" si="15"/>
        <v>23.6145054183878,68.5198003898625</v>
      </c>
    </row>
    <row r="109" spans="2:29" x14ac:dyDescent="0.2">
      <c r="B109" s="3">
        <v>107</v>
      </c>
      <c r="C109" s="6">
        <v>28.56</v>
      </c>
      <c r="D109" s="6">
        <v>61.2</v>
      </c>
      <c r="E109" s="8">
        <v>0</v>
      </c>
      <c r="F109" s="7"/>
      <c r="G109" s="10">
        <v>47.511817686391304</v>
      </c>
      <c r="H109" s="10">
        <v>55.835093640109498</v>
      </c>
      <c r="I109" s="10">
        <v>-2.7962363612470398</v>
      </c>
      <c r="K109" s="10">
        <v>47.834250593550202</v>
      </c>
      <c r="L109" s="10">
        <v>55.627427181596502</v>
      </c>
      <c r="M109" s="10">
        <v>3.11465909712072</v>
      </c>
      <c r="N109" s="13"/>
      <c r="O109" s="10">
        <v>22.780489743179601</v>
      </c>
      <c r="P109" s="10">
        <v>68.619889617589095</v>
      </c>
      <c r="Q109" s="10">
        <v>2.8801318755079999</v>
      </c>
      <c r="R109" s="13"/>
      <c r="S109" s="8">
        <v>0</v>
      </c>
      <c r="T109" s="13"/>
      <c r="U109" s="13">
        <f t="shared" si="8"/>
        <v>0</v>
      </c>
      <c r="V109" s="13">
        <f t="shared" si="9"/>
        <v>19.787457979525982</v>
      </c>
      <c r="W109" s="13">
        <f t="shared" si="16"/>
        <v>358.45682088704484</v>
      </c>
      <c r="X109" s="13">
        <f t="shared" si="17"/>
        <v>345.01940090770665</v>
      </c>
      <c r="Z109" t="str">
        <f t="shared" si="12"/>
        <v>28.56,61.2</v>
      </c>
      <c r="AA109" t="str">
        <f t="shared" si="13"/>
        <v>47.5118176863913,55.8350936401095</v>
      </c>
      <c r="AB109" t="str">
        <f t="shared" si="14"/>
        <v>47.8342505935502,55.6274271815965</v>
      </c>
      <c r="AC109" t="str">
        <f t="shared" si="15"/>
        <v>22.7804897431796,68.6198896175891</v>
      </c>
    </row>
    <row r="110" spans="2:29" x14ac:dyDescent="0.2">
      <c r="B110" s="3">
        <v>108</v>
      </c>
      <c r="C110" s="6">
        <v>27.72</v>
      </c>
      <c r="D110" s="6">
        <v>61.2</v>
      </c>
      <c r="E110" s="8">
        <v>0</v>
      </c>
      <c r="F110" s="7"/>
      <c r="G110" s="10">
        <v>46.721415573759202</v>
      </c>
      <c r="H110" s="10">
        <v>56.119460481261498</v>
      </c>
      <c r="I110" s="10">
        <v>-3.11465909712072</v>
      </c>
      <c r="K110" s="10">
        <v>46.994555250047597</v>
      </c>
      <c r="L110" s="10">
        <v>55.604805729389597</v>
      </c>
      <c r="M110" s="10">
        <v>-3.1098966888080302</v>
      </c>
      <c r="N110" s="13"/>
      <c r="O110" s="10">
        <v>21.969038479152299</v>
      </c>
      <c r="P110" s="10">
        <v>68.402756372533005</v>
      </c>
      <c r="Q110" s="10">
        <v>2.9724485997720702</v>
      </c>
      <c r="R110" s="13"/>
      <c r="S110" s="8">
        <v>0</v>
      </c>
      <c r="T110" s="13"/>
      <c r="U110" s="13">
        <f t="shared" si="8"/>
        <v>0</v>
      </c>
      <c r="V110" s="13">
        <f t="shared" si="9"/>
        <v>1.5431791129551868</v>
      </c>
      <c r="W110" s="13">
        <f t="shared" si="16"/>
        <v>1.8160450095903116</v>
      </c>
      <c r="X110" s="13">
        <f t="shared" si="17"/>
        <v>350.3087595865108</v>
      </c>
      <c r="Z110" t="str">
        <f t="shared" si="12"/>
        <v>27.72,61.2</v>
      </c>
      <c r="AA110" t="str">
        <f t="shared" si="13"/>
        <v>46.7214155737592,56.1194604812615</v>
      </c>
      <c r="AB110" t="str">
        <f t="shared" si="14"/>
        <v>46.9945552500476,55.6048057293896</v>
      </c>
      <c r="AC110" t="str">
        <f t="shared" si="15"/>
        <v>21.9690384791523,68.402756372533</v>
      </c>
    </row>
    <row r="111" spans="2:29" x14ac:dyDescent="0.2">
      <c r="B111" s="3">
        <v>109</v>
      </c>
      <c r="C111" s="6">
        <v>26.88</v>
      </c>
      <c r="D111" s="6">
        <v>61.2</v>
      </c>
      <c r="E111" s="8">
        <v>0</v>
      </c>
      <c r="F111" s="7"/>
      <c r="G111" s="10">
        <v>45.881720230256597</v>
      </c>
      <c r="H111" s="10">
        <v>56.142081933468297</v>
      </c>
      <c r="I111" s="10">
        <v>-2.75688743288377</v>
      </c>
      <c r="K111" s="10">
        <v>46.154977161080602</v>
      </c>
      <c r="L111" s="10">
        <v>55.631425882031202</v>
      </c>
      <c r="M111" s="10">
        <v>-2.75688743288377</v>
      </c>
      <c r="N111" s="13"/>
      <c r="O111" s="10">
        <v>21.1410259370098</v>
      </c>
      <c r="P111" s="10">
        <v>68.261351881604995</v>
      </c>
      <c r="Q111" s="10">
        <v>-2.98685397013343</v>
      </c>
      <c r="R111" s="13"/>
      <c r="S111" s="8">
        <v>0</v>
      </c>
      <c r="T111" s="13"/>
      <c r="U111" s="13">
        <f t="shared" si="8"/>
        <v>0</v>
      </c>
      <c r="V111" s="13">
        <f t="shared" si="9"/>
        <v>22.041985503103973</v>
      </c>
      <c r="W111" s="13">
        <f t="shared" si="16"/>
        <v>22.041985503103973</v>
      </c>
      <c r="X111" s="13">
        <f t="shared" si="17"/>
        <v>8.8658734894603981</v>
      </c>
      <c r="Z111" t="str">
        <f t="shared" si="12"/>
        <v>26.88,61.2</v>
      </c>
      <c r="AA111" t="str">
        <f t="shared" si="13"/>
        <v>45.8817202302566,56.1420819334683</v>
      </c>
      <c r="AB111" t="str">
        <f t="shared" si="14"/>
        <v>46.1549771610806,55.6314258820312</v>
      </c>
      <c r="AC111" t="str">
        <f t="shared" si="15"/>
        <v>21.1410259370098,68.261351881605</v>
      </c>
    </row>
    <row r="112" spans="2:29" x14ac:dyDescent="0.2">
      <c r="B112" s="3">
        <v>110</v>
      </c>
      <c r="C112" s="6">
        <v>26.04</v>
      </c>
      <c r="D112" s="6">
        <v>61.2</v>
      </c>
      <c r="E112" s="8">
        <v>0</v>
      </c>
      <c r="F112" s="7"/>
      <c r="G112" s="10">
        <v>45.103116586708701</v>
      </c>
      <c r="H112" s="10">
        <v>56.457322105803598</v>
      </c>
      <c r="I112" s="10">
        <v>-2.4512394114748601</v>
      </c>
      <c r="K112" s="10">
        <v>45.376373517532798</v>
      </c>
      <c r="L112" s="10">
        <v>55.946666054366503</v>
      </c>
      <c r="M112" s="10">
        <v>-2.4512394114748601</v>
      </c>
      <c r="N112" s="13"/>
      <c r="O112" s="10">
        <v>20.311062392154099</v>
      </c>
      <c r="P112" s="10">
        <v>68.390814286227396</v>
      </c>
      <c r="Q112" s="10">
        <v>-2.73236037516069</v>
      </c>
      <c r="R112" s="13"/>
      <c r="S112" s="8">
        <v>0</v>
      </c>
      <c r="T112" s="13"/>
      <c r="U112" s="13">
        <f t="shared" si="8"/>
        <v>0</v>
      </c>
      <c r="V112" s="13">
        <f t="shared" si="9"/>
        <v>39.55432714635873</v>
      </c>
      <c r="W112" s="13">
        <f t="shared" si="16"/>
        <v>39.55432714635873</v>
      </c>
      <c r="X112" s="13">
        <f t="shared" si="17"/>
        <v>23.447282394510211</v>
      </c>
      <c r="Z112" t="str">
        <f t="shared" si="12"/>
        <v>26.04,61.2</v>
      </c>
      <c r="AA112" t="str">
        <f t="shared" si="13"/>
        <v>45.1031165867087,56.4573221058036</v>
      </c>
      <c r="AB112" t="str">
        <f t="shared" si="14"/>
        <v>45.3763735175328,55.9466660543665</v>
      </c>
      <c r="AC112" t="str">
        <f t="shared" si="15"/>
        <v>20.3110623921541,68.3908142862274</v>
      </c>
    </row>
    <row r="113" spans="2:29" x14ac:dyDescent="0.2">
      <c r="B113" s="3">
        <v>111</v>
      </c>
      <c r="C113" s="6">
        <v>25.2</v>
      </c>
      <c r="D113" s="6">
        <v>61.2</v>
      </c>
      <c r="E113" s="8">
        <v>0</v>
      </c>
      <c r="F113" s="7"/>
      <c r="G113" s="10">
        <v>44.455458849988297</v>
      </c>
      <c r="H113" s="10">
        <v>56.992242152227597</v>
      </c>
      <c r="I113" s="10">
        <v>-2.68405808378267</v>
      </c>
      <c r="K113" s="10">
        <v>44.728715780812401</v>
      </c>
      <c r="L113" s="10">
        <v>56.481586100790501</v>
      </c>
      <c r="M113" s="10">
        <v>-2.68405808378267</v>
      </c>
      <c r="N113" s="13"/>
      <c r="O113" s="10">
        <v>19.540424070420698</v>
      </c>
      <c r="P113" s="10">
        <v>68.725054584629504</v>
      </c>
      <c r="Q113" s="10">
        <v>-2.9085659974451601</v>
      </c>
      <c r="R113" s="13"/>
      <c r="S113" s="8">
        <v>0</v>
      </c>
      <c r="T113" s="13"/>
      <c r="U113" s="13">
        <f t="shared" si="8"/>
        <v>0</v>
      </c>
      <c r="V113" s="13">
        <f t="shared" si="9"/>
        <v>26.214799831281908</v>
      </c>
      <c r="W113" s="13">
        <f t="shared" si="16"/>
        <v>26.214799831281908</v>
      </c>
      <c r="X113" s="13">
        <f t="shared" si="17"/>
        <v>13.351443911133771</v>
      </c>
      <c r="Z113" t="str">
        <f t="shared" si="12"/>
        <v>25.2,61.2</v>
      </c>
      <c r="AA113" t="str">
        <f t="shared" si="13"/>
        <v>44.4554588499883,56.9922421522276</v>
      </c>
      <c r="AB113" t="str">
        <f t="shared" si="14"/>
        <v>44.7287157808124,56.4815861007905</v>
      </c>
      <c r="AC113" t="str">
        <f t="shared" si="15"/>
        <v>19.5404240704207,68.7250545846295</v>
      </c>
    </row>
    <row r="114" spans="2:29" x14ac:dyDescent="0.2">
      <c r="B114" s="3">
        <v>112</v>
      </c>
      <c r="C114" s="6">
        <v>24.36</v>
      </c>
      <c r="D114" s="6">
        <v>61.2</v>
      </c>
      <c r="E114" s="8">
        <v>0</v>
      </c>
      <c r="F114" s="7"/>
      <c r="G114" s="10">
        <v>43.701857641158099</v>
      </c>
      <c r="H114" s="10">
        <v>57.363301740501001</v>
      </c>
      <c r="I114" s="10">
        <v>-2.68405808378267</v>
      </c>
      <c r="K114" s="10">
        <v>43.975114571982097</v>
      </c>
      <c r="L114" s="10">
        <v>56.852645689063799</v>
      </c>
      <c r="M114" s="10">
        <v>-2.7342769802823801</v>
      </c>
      <c r="N114" s="13"/>
      <c r="O114" s="10">
        <v>18.723127651923399</v>
      </c>
      <c r="P114" s="10">
        <v>68.91903026432</v>
      </c>
      <c r="Q114" s="10">
        <v>-2.9536610034383801</v>
      </c>
      <c r="R114" s="13"/>
      <c r="S114" s="8">
        <v>0</v>
      </c>
      <c r="T114" s="13"/>
      <c r="U114" s="13">
        <f t="shared" si="8"/>
        <v>0</v>
      </c>
      <c r="V114" s="13">
        <f t="shared" si="9"/>
        <v>26.214799831281908</v>
      </c>
      <c r="W114" s="13">
        <f t="shared" si="16"/>
        <v>23.337469010044202</v>
      </c>
      <c r="X114" s="13">
        <f t="shared" si="17"/>
        <v>10.767690390605082</v>
      </c>
      <c r="Z114" t="str">
        <f t="shared" si="12"/>
        <v>24.36,61.2</v>
      </c>
      <c r="AA114" t="str">
        <f t="shared" si="13"/>
        <v>43.7018576411581,57.363301740501</v>
      </c>
      <c r="AB114" t="str">
        <f t="shared" si="14"/>
        <v>43.9751145719821,56.8526456890638</v>
      </c>
      <c r="AC114" t="str">
        <f t="shared" si="15"/>
        <v>18.7231276519234,68.91903026432</v>
      </c>
    </row>
    <row r="115" spans="2:29" x14ac:dyDescent="0.2">
      <c r="B115" s="3">
        <v>113</v>
      </c>
      <c r="C115" s="6">
        <v>23.52</v>
      </c>
      <c r="D115" s="6">
        <v>61.2</v>
      </c>
      <c r="E115" s="8">
        <v>0</v>
      </c>
      <c r="F115" s="7"/>
      <c r="G115" s="10">
        <v>42.948256432327803</v>
      </c>
      <c r="H115" s="10">
        <v>57.734361328774298</v>
      </c>
      <c r="I115" s="10">
        <v>-2.7342769802823801</v>
      </c>
      <c r="K115" s="10">
        <v>43.203837059394601</v>
      </c>
      <c r="L115" s="10">
        <v>57.185408365120999</v>
      </c>
      <c r="M115" s="10">
        <v>-2.7669208755414898</v>
      </c>
      <c r="N115" s="13"/>
      <c r="O115" s="10">
        <v>17.897917733049301</v>
      </c>
      <c r="P115" s="10">
        <v>69.075965250195907</v>
      </c>
      <c r="Q115" s="10">
        <v>-2.9779125305419898</v>
      </c>
      <c r="R115" s="13"/>
      <c r="S115" s="8">
        <v>0</v>
      </c>
      <c r="T115" s="13"/>
      <c r="U115" s="13">
        <f t="shared" si="8"/>
        <v>0</v>
      </c>
      <c r="V115" s="13">
        <f t="shared" si="9"/>
        <v>23.337469010044202</v>
      </c>
      <c r="W115" s="13">
        <f t="shared" si="16"/>
        <v>21.467111584830121</v>
      </c>
      <c r="X115" s="13">
        <f t="shared" si="17"/>
        <v>9.3781802408211092</v>
      </c>
      <c r="Z115" t="str">
        <f t="shared" si="12"/>
        <v>23.52,61.2</v>
      </c>
      <c r="AA115" t="str">
        <f t="shared" si="13"/>
        <v>42.9482564323278,57.7343613287743</v>
      </c>
      <c r="AB115" t="str">
        <f t="shared" si="14"/>
        <v>43.2038370593946,57.185408365121</v>
      </c>
      <c r="AC115" t="str">
        <f t="shared" si="15"/>
        <v>17.8979177330493,69.0759652501959</v>
      </c>
    </row>
    <row r="116" spans="2:29" x14ac:dyDescent="0.2">
      <c r="B116" s="3">
        <v>114</v>
      </c>
      <c r="C116" s="6">
        <v>22.68</v>
      </c>
      <c r="D116" s="6">
        <v>61.2</v>
      </c>
      <c r="E116" s="8">
        <v>0</v>
      </c>
      <c r="F116" s="7"/>
      <c r="G116" s="10">
        <v>42.176978919740201</v>
      </c>
      <c r="H116" s="10">
        <v>58.067124004831399</v>
      </c>
      <c r="I116" s="10">
        <v>-2.7669208755414898</v>
      </c>
      <c r="K116" s="10">
        <v>42.422109715397298</v>
      </c>
      <c r="L116" s="10">
        <v>57.492820726041998</v>
      </c>
      <c r="M116" s="10">
        <v>-2.7276110165065202</v>
      </c>
      <c r="N116" s="13"/>
      <c r="O116" s="10">
        <v>17.069144930337899</v>
      </c>
      <c r="P116" s="10">
        <v>69.212843449650606</v>
      </c>
      <c r="Q116" s="10">
        <v>-2.9474700320181899</v>
      </c>
      <c r="R116" s="13"/>
      <c r="S116" s="8">
        <v>0</v>
      </c>
      <c r="T116" s="13"/>
      <c r="U116" s="13">
        <f t="shared" si="8"/>
        <v>0</v>
      </c>
      <c r="V116" s="13">
        <f t="shared" si="9"/>
        <v>21.467111584830121</v>
      </c>
      <c r="W116" s="13">
        <f t="shared" si="16"/>
        <v>23.719400600788077</v>
      </c>
      <c r="X116" s="13">
        <f t="shared" si="17"/>
        <v>11.122406924068116</v>
      </c>
      <c r="Z116" t="str">
        <f t="shared" si="12"/>
        <v>22.68,61.2</v>
      </c>
      <c r="AA116" t="str">
        <f t="shared" si="13"/>
        <v>42.1769789197402,58.0671240048314</v>
      </c>
      <c r="AB116" t="str">
        <f t="shared" si="14"/>
        <v>42.4221097153973,57.492820726042</v>
      </c>
      <c r="AC116" t="str">
        <f t="shared" si="15"/>
        <v>17.0691449303379,69.2128434496506</v>
      </c>
    </row>
    <row r="117" spans="2:29" x14ac:dyDescent="0.2">
      <c r="B117" s="3">
        <v>115</v>
      </c>
      <c r="C117" s="6">
        <v>21.84</v>
      </c>
      <c r="D117" s="6">
        <v>61.2</v>
      </c>
      <c r="E117" s="8">
        <v>0</v>
      </c>
      <c r="F117" s="7"/>
      <c r="G117" s="10">
        <v>41.395251575743004</v>
      </c>
      <c r="H117" s="10">
        <v>58.374536365752498</v>
      </c>
      <c r="I117" s="10">
        <v>-2.7276110165065202</v>
      </c>
      <c r="K117" s="10">
        <v>41.653067506149704</v>
      </c>
      <c r="L117" s="10">
        <v>57.830717278843998</v>
      </c>
      <c r="M117" s="10">
        <v>-2.6545475117528499</v>
      </c>
      <c r="N117" s="13"/>
      <c r="O117" s="10">
        <v>16.2449223995946</v>
      </c>
      <c r="P117" s="10">
        <v>69.374884246412094</v>
      </c>
      <c r="Q117" s="10">
        <v>-2.8684579244458002</v>
      </c>
      <c r="R117" s="13"/>
      <c r="S117" s="8">
        <v>0</v>
      </c>
      <c r="T117" s="13"/>
      <c r="U117" s="13">
        <f t="shared" si="8"/>
        <v>0</v>
      </c>
      <c r="V117" s="13">
        <f t="shared" si="9"/>
        <v>23.719400600788077</v>
      </c>
      <c r="W117" s="13">
        <f t="shared" si="16"/>
        <v>27.905631059607401</v>
      </c>
      <c r="X117" s="13">
        <f t="shared" si="17"/>
        <v>15.649467218399678</v>
      </c>
      <c r="Z117" t="str">
        <f t="shared" si="12"/>
        <v>21.84,61.2</v>
      </c>
      <c r="AA117" t="str">
        <f t="shared" si="13"/>
        <v>41.395251575743,58.3745363657525</v>
      </c>
      <c r="AB117" t="str">
        <f t="shared" si="14"/>
        <v>41.6530675061497,57.830717278844</v>
      </c>
      <c r="AC117" t="str">
        <f t="shared" si="15"/>
        <v>16.2449223995946,69.3748842464121</v>
      </c>
    </row>
    <row r="118" spans="2:29" x14ac:dyDescent="0.2">
      <c r="B118" s="3">
        <v>116</v>
      </c>
      <c r="C118" s="6">
        <v>21</v>
      </c>
      <c r="D118" s="6">
        <v>61.2</v>
      </c>
      <c r="E118" s="8">
        <v>0</v>
      </c>
      <c r="F118" s="7"/>
      <c r="G118" s="10">
        <v>40.626209366495303</v>
      </c>
      <c r="H118" s="10">
        <v>58.712432918554498</v>
      </c>
      <c r="I118" s="10">
        <v>-2.6545475117528499</v>
      </c>
      <c r="K118" s="10">
        <v>40.910743010708302</v>
      </c>
      <c r="L118" s="10">
        <v>58.223851280766702</v>
      </c>
      <c r="M118" s="10">
        <v>-2.6727055624560099</v>
      </c>
      <c r="N118" s="13"/>
      <c r="O118" s="10">
        <v>15.4360611729913</v>
      </c>
      <c r="P118" s="10">
        <v>69.601475323239299</v>
      </c>
      <c r="Q118" s="10">
        <v>-2.9100272799357798</v>
      </c>
      <c r="R118" s="13"/>
      <c r="S118" s="8">
        <v>0</v>
      </c>
      <c r="T118" s="13"/>
      <c r="U118" s="13">
        <f t="shared" si="8"/>
        <v>0</v>
      </c>
      <c r="V118" s="13">
        <f t="shared" si="9"/>
        <v>27.905631059607401</v>
      </c>
      <c r="W118" s="13">
        <f t="shared" si="16"/>
        <v>26.865251390131789</v>
      </c>
      <c r="X118" s="13">
        <f t="shared" si="17"/>
        <v>13.267718591744881</v>
      </c>
      <c r="Z118" t="str">
        <f t="shared" si="12"/>
        <v>21,61.2</v>
      </c>
      <c r="AA118" t="str">
        <f t="shared" si="13"/>
        <v>40.6262093664953,58.7124329185545</v>
      </c>
      <c r="AB118" t="str">
        <f t="shared" si="14"/>
        <v>40.9107430107083,58.2238512807667</v>
      </c>
      <c r="AC118" t="str">
        <f t="shared" si="15"/>
        <v>15.4360611729913,69.6014753232393</v>
      </c>
    </row>
    <row r="119" spans="2:29" x14ac:dyDescent="0.2">
      <c r="B119" s="3">
        <v>117</v>
      </c>
      <c r="C119" s="6">
        <v>20.16</v>
      </c>
      <c r="D119" s="6">
        <v>61.2</v>
      </c>
      <c r="E119" s="8">
        <v>0</v>
      </c>
      <c r="F119" s="7"/>
      <c r="G119" s="10">
        <v>39.883884871054001</v>
      </c>
      <c r="H119" s="10">
        <v>59.105566920477102</v>
      </c>
      <c r="I119" s="10">
        <v>-2.6727055624560099</v>
      </c>
      <c r="K119" s="10">
        <v>40.161402734726998</v>
      </c>
      <c r="L119" s="10">
        <v>58.603442048294397</v>
      </c>
      <c r="M119" s="10">
        <v>-2.6941363161858201</v>
      </c>
      <c r="N119" s="13"/>
      <c r="O119" s="10">
        <v>14.618482173935799</v>
      </c>
      <c r="P119" s="10">
        <v>69.7942564953063</v>
      </c>
      <c r="Q119" s="10">
        <v>-2.9116724027794199</v>
      </c>
      <c r="R119" s="13"/>
      <c r="S119" s="8">
        <v>0</v>
      </c>
      <c r="T119" s="13"/>
      <c r="U119" s="13">
        <f t="shared" si="8"/>
        <v>0</v>
      </c>
      <c r="V119" s="13">
        <f t="shared" si="9"/>
        <v>26.865251390131789</v>
      </c>
      <c r="W119" s="13">
        <f t="shared" si="16"/>
        <v>25.637359649629417</v>
      </c>
      <c r="X119" s="13">
        <f t="shared" si="17"/>
        <v>13.173459996023752</v>
      </c>
      <c r="Z119" t="str">
        <f t="shared" si="12"/>
        <v>20.16,61.2</v>
      </c>
      <c r="AA119" t="str">
        <f t="shared" si="13"/>
        <v>39.883884871054,59.1055669204771</v>
      </c>
      <c r="AB119" t="str">
        <f t="shared" si="14"/>
        <v>40.161402734727,58.6034420482944</v>
      </c>
      <c r="AC119" t="str">
        <f t="shared" si="15"/>
        <v>14.6184821739358,69.7942564953063</v>
      </c>
    </row>
    <row r="120" spans="2:29" x14ac:dyDescent="0.2">
      <c r="B120" s="3">
        <v>118</v>
      </c>
      <c r="C120" s="6">
        <v>19.32</v>
      </c>
      <c r="D120" s="6">
        <v>61.2</v>
      </c>
      <c r="E120" s="8">
        <v>0</v>
      </c>
      <c r="F120" s="7"/>
      <c r="G120" s="10">
        <v>39.134544595072697</v>
      </c>
      <c r="H120" s="10">
        <v>59.485157688004897</v>
      </c>
      <c r="I120" s="10">
        <v>-2.6941363161858201</v>
      </c>
      <c r="K120" s="10">
        <v>39.404100236039497</v>
      </c>
      <c r="L120" s="10">
        <v>58.966887952772097</v>
      </c>
      <c r="M120" s="10">
        <v>-2.7429223500122202</v>
      </c>
      <c r="N120" s="13"/>
      <c r="O120" s="10">
        <v>13.800587132673099</v>
      </c>
      <c r="P120" s="10">
        <v>69.985692389218002</v>
      </c>
      <c r="Q120" s="10">
        <v>-2.9407621007492901</v>
      </c>
      <c r="R120" s="13"/>
      <c r="S120" s="8">
        <v>0</v>
      </c>
      <c r="T120" s="13"/>
      <c r="U120" s="13">
        <f t="shared" si="8"/>
        <v>0</v>
      </c>
      <c r="V120" s="13">
        <f t="shared" si="9"/>
        <v>25.637359649629417</v>
      </c>
      <c r="W120" s="13">
        <f t="shared" si="16"/>
        <v>22.842125812194212</v>
      </c>
      <c r="X120" s="13">
        <f t="shared" si="17"/>
        <v>11.506743075039878</v>
      </c>
      <c r="Z120" t="str">
        <f t="shared" si="12"/>
        <v>19.32,61.2</v>
      </c>
      <c r="AA120" t="str">
        <f t="shared" si="13"/>
        <v>39.1345445950727,59.4851576880049</v>
      </c>
      <c r="AB120" t="str">
        <f t="shared" si="14"/>
        <v>39.4041002360395,58.9668879527721</v>
      </c>
      <c r="AC120" t="str">
        <f t="shared" si="15"/>
        <v>13.8005871326731,69.985692389218</v>
      </c>
    </row>
    <row r="121" spans="2:29" x14ac:dyDescent="0.2">
      <c r="B121" s="3">
        <v>119</v>
      </c>
      <c r="C121" s="6">
        <v>18.48</v>
      </c>
      <c r="D121" s="6">
        <v>61.2</v>
      </c>
      <c r="E121" s="8">
        <v>0</v>
      </c>
      <c r="F121" s="7"/>
      <c r="G121" s="10">
        <v>38.377242096385103</v>
      </c>
      <c r="H121" s="10">
        <v>59.848603592482498</v>
      </c>
      <c r="I121" s="10">
        <v>-2.7429223500122202</v>
      </c>
      <c r="K121" s="10">
        <v>38.629974726315602</v>
      </c>
      <c r="L121" s="10">
        <v>59.292970296965699</v>
      </c>
      <c r="M121" s="10">
        <v>-2.72231435789219</v>
      </c>
      <c r="N121" s="13"/>
      <c r="O121" s="10">
        <v>12.9774700957355</v>
      </c>
      <c r="P121" s="10">
        <v>70.153258326995299</v>
      </c>
      <c r="Q121" s="10">
        <v>-2.9423111202546401</v>
      </c>
      <c r="R121" s="13"/>
      <c r="S121" s="8">
        <v>0</v>
      </c>
      <c r="T121" s="13"/>
      <c r="U121" s="13">
        <f t="shared" si="8"/>
        <v>0</v>
      </c>
      <c r="V121" s="13">
        <f t="shared" si="9"/>
        <v>22.842125812194212</v>
      </c>
      <c r="W121" s="13">
        <f t="shared" si="16"/>
        <v>24.022876784910807</v>
      </c>
      <c r="X121" s="13">
        <f t="shared" si="17"/>
        <v>11.417990794999895</v>
      </c>
      <c r="Z121" t="str">
        <f t="shared" si="12"/>
        <v>18.48,61.2</v>
      </c>
      <c r="AA121" t="str">
        <f t="shared" si="13"/>
        <v>38.3772420963851,59.8486035924825</v>
      </c>
      <c r="AB121" t="str">
        <f t="shared" si="14"/>
        <v>38.6299747263156,59.2929702969657</v>
      </c>
      <c r="AC121" t="str">
        <f t="shared" si="15"/>
        <v>12.9774700957355,70.1532583269953</v>
      </c>
    </row>
    <row r="122" spans="2:29" x14ac:dyDescent="0.2">
      <c r="B122" s="3">
        <v>120</v>
      </c>
      <c r="C122" s="6">
        <v>17.64</v>
      </c>
      <c r="D122" s="6">
        <v>61.2</v>
      </c>
      <c r="E122" s="8">
        <v>0</v>
      </c>
      <c r="F122" s="7"/>
      <c r="G122" s="10">
        <v>37.603116586661301</v>
      </c>
      <c r="H122" s="10">
        <v>60.174685936676198</v>
      </c>
      <c r="I122" s="10">
        <v>-3.14159265358979</v>
      </c>
      <c r="K122" s="10">
        <v>37.862733018944503</v>
      </c>
      <c r="L122" s="10">
        <v>59.634935445000103</v>
      </c>
      <c r="M122" s="10">
        <v>-2.8499557041727002</v>
      </c>
      <c r="N122" s="13"/>
      <c r="O122" s="10">
        <v>12.154094483514401</v>
      </c>
      <c r="P122" s="10">
        <v>70.319549039903194</v>
      </c>
      <c r="Q122" s="10">
        <v>-3.05976957880377</v>
      </c>
      <c r="R122" s="13"/>
      <c r="S122" s="8">
        <v>0</v>
      </c>
      <c r="T122" s="13"/>
      <c r="U122" s="13">
        <f t="shared" si="8"/>
        <v>0</v>
      </c>
      <c r="V122" s="13">
        <f t="shared" si="9"/>
        <v>0</v>
      </c>
      <c r="W122" s="13">
        <f t="shared" si="16"/>
        <v>16.709566351669679</v>
      </c>
      <c r="X122" s="13">
        <f t="shared" si="17"/>
        <v>4.6881168520224321</v>
      </c>
      <c r="Z122" t="str">
        <f t="shared" si="12"/>
        <v>17.64,61.2</v>
      </c>
      <c r="AA122" t="str">
        <f t="shared" si="13"/>
        <v>37.6031165866613,60.1746859366762</v>
      </c>
      <c r="AB122" t="str">
        <f t="shared" si="14"/>
        <v>37.8627330189445,59.6349354450001</v>
      </c>
      <c r="AC122" t="str">
        <f t="shared" si="15"/>
        <v>12.1540944835144,70.3195490399032</v>
      </c>
    </row>
    <row r="123" spans="2:29" x14ac:dyDescent="0.2">
      <c r="B123" s="3">
        <v>121</v>
      </c>
      <c r="C123" s="6">
        <v>16.8</v>
      </c>
      <c r="D123" s="6">
        <v>61.2</v>
      </c>
      <c r="E123" s="8">
        <v>0</v>
      </c>
      <c r="F123" s="7"/>
      <c r="G123" s="10">
        <v>36.763116586661297</v>
      </c>
      <c r="H123" s="10">
        <v>60.174685936676198</v>
      </c>
      <c r="I123" s="10">
        <v>-2.7348971578173198</v>
      </c>
      <c r="K123" s="10">
        <v>37.058202436813403</v>
      </c>
      <c r="L123" s="10">
        <v>59.876452612952498</v>
      </c>
      <c r="M123" s="10">
        <v>-2.7348971578173198</v>
      </c>
      <c r="N123" s="13"/>
      <c r="O123" s="10">
        <v>11.316904821589601</v>
      </c>
      <c r="P123" s="10">
        <v>70.388203755446</v>
      </c>
      <c r="Q123" s="10">
        <v>-2.9623566261940502</v>
      </c>
      <c r="R123" s="13"/>
      <c r="S123" s="8">
        <v>0</v>
      </c>
      <c r="T123" s="13"/>
      <c r="U123" s="13">
        <f t="shared" si="8"/>
        <v>0</v>
      </c>
      <c r="V123" s="13">
        <f t="shared" si="9"/>
        <v>23.301935454743358</v>
      </c>
      <c r="W123" s="13">
        <f t="shared" si="16"/>
        <v>23.301935454743358</v>
      </c>
      <c r="X123" s="13">
        <f t="shared" si="17"/>
        <v>10.26946790646727</v>
      </c>
      <c r="Z123" t="str">
        <f t="shared" si="12"/>
        <v>16.8,61.2</v>
      </c>
      <c r="AA123" t="str">
        <f t="shared" si="13"/>
        <v>36.7631165866613,60.1746859366762</v>
      </c>
      <c r="AB123" t="str">
        <f t="shared" si="14"/>
        <v>37.0582024368134,59.8764526129525</v>
      </c>
      <c r="AC123" t="str">
        <f t="shared" si="15"/>
        <v>11.3169048215896,70.388203755446</v>
      </c>
    </row>
    <row r="124" spans="2:29" x14ac:dyDescent="0.2">
      <c r="B124" s="3">
        <v>122</v>
      </c>
      <c r="C124" s="6">
        <v>15.96</v>
      </c>
      <c r="D124" s="6">
        <v>61.2</v>
      </c>
      <c r="E124" s="8">
        <v>0</v>
      </c>
      <c r="F124" s="7"/>
      <c r="G124" s="10">
        <v>35.991632850475199</v>
      </c>
      <c r="H124" s="10">
        <v>60.506970219783803</v>
      </c>
      <c r="I124" s="10">
        <v>-2.7348971578173198</v>
      </c>
      <c r="K124" s="10">
        <v>36.286718700627297</v>
      </c>
      <c r="L124" s="10">
        <v>60.208736896060202</v>
      </c>
      <c r="M124" s="10">
        <v>-2.7023914527454602</v>
      </c>
      <c r="N124" s="13"/>
      <c r="O124" s="10">
        <v>10.4903614709339</v>
      </c>
      <c r="P124" s="10">
        <v>70.537957184411098</v>
      </c>
      <c r="Q124" s="10">
        <v>-2.9389335676156798</v>
      </c>
      <c r="R124" s="13"/>
      <c r="S124" s="8">
        <v>0</v>
      </c>
      <c r="T124" s="13"/>
      <c r="U124" s="13">
        <f t="shared" si="8"/>
        <v>0</v>
      </c>
      <c r="V124" s="13">
        <f t="shared" si="9"/>
        <v>23.301935454743358</v>
      </c>
      <c r="W124" s="13">
        <f t="shared" si="16"/>
        <v>25.164375165457869</v>
      </c>
      <c r="X124" s="13">
        <f t="shared" si="17"/>
        <v>11.6115103062956</v>
      </c>
      <c r="Z124" t="str">
        <f t="shared" si="12"/>
        <v>15.96,61.2</v>
      </c>
      <c r="AA124" t="str">
        <f t="shared" si="13"/>
        <v>35.9916328504752,60.5069702197838</v>
      </c>
      <c r="AB124" t="str">
        <f t="shared" si="14"/>
        <v>36.2867187006273,60.2087368960602</v>
      </c>
      <c r="AC124" t="str">
        <f t="shared" si="15"/>
        <v>10.4903614709339,70.5379571844111</v>
      </c>
    </row>
    <row r="125" spans="2:29" x14ac:dyDescent="0.2">
      <c r="B125" s="3">
        <v>123</v>
      </c>
      <c r="C125" s="6">
        <v>15.12</v>
      </c>
      <c r="D125" s="6">
        <v>61.2</v>
      </c>
      <c r="E125" s="8">
        <v>0</v>
      </c>
      <c r="F125" s="7"/>
      <c r="G125" s="10">
        <v>35.2201491142892</v>
      </c>
      <c r="H125" s="10">
        <v>60.839254502891499</v>
      </c>
      <c r="I125" s="10">
        <v>-2.7023914527454602</v>
      </c>
      <c r="K125" s="10">
        <v>35.5264417443491</v>
      </c>
      <c r="L125" s="10">
        <v>60.565918852144797</v>
      </c>
      <c r="M125" s="10">
        <v>-2.6967443895510499</v>
      </c>
      <c r="N125" s="13"/>
      <c r="O125" s="10">
        <v>9.6675522097541702</v>
      </c>
      <c r="P125" s="10">
        <v>70.707027937993601</v>
      </c>
      <c r="Q125" s="10">
        <v>-2.9142419115310099</v>
      </c>
      <c r="R125" s="13"/>
      <c r="S125" s="8">
        <v>0</v>
      </c>
      <c r="T125" s="13"/>
      <c r="U125" s="13">
        <f t="shared" si="8"/>
        <v>0</v>
      </c>
      <c r="V125" s="13">
        <f t="shared" si="9"/>
        <v>25.164375165457869</v>
      </c>
      <c r="W125" s="13">
        <f t="shared" si="16"/>
        <v>25.487928053141275</v>
      </c>
      <c r="X125" s="13">
        <f t="shared" si="17"/>
        <v>13.026237989135666</v>
      </c>
      <c r="Z125" t="str">
        <f t="shared" si="12"/>
        <v>15.12,61.2</v>
      </c>
      <c r="AA125" t="str">
        <f t="shared" si="13"/>
        <v>35.2201491142892,60.8392545028915</v>
      </c>
      <c r="AB125" t="str">
        <f t="shared" si="14"/>
        <v>35.5264417443491,60.5659188521448</v>
      </c>
      <c r="AC125" t="str">
        <f t="shared" si="15"/>
        <v>9.66755220975417,70.7070279379936</v>
      </c>
    </row>
    <row r="126" spans="2:29" x14ac:dyDescent="0.2">
      <c r="B126" s="3">
        <v>124</v>
      </c>
      <c r="C126" s="6">
        <v>14.28</v>
      </c>
      <c r="D126" s="6">
        <v>61.2</v>
      </c>
      <c r="E126" s="8">
        <v>0</v>
      </c>
      <c r="F126" s="7"/>
      <c r="G126" s="10">
        <v>34.459872158011002</v>
      </c>
      <c r="H126" s="10">
        <v>61.196436458976102</v>
      </c>
      <c r="I126" s="10">
        <v>-2.6967443895510499</v>
      </c>
      <c r="K126" s="10">
        <v>34.768193928754997</v>
      </c>
      <c r="L126" s="10">
        <v>60.927388422298002</v>
      </c>
      <c r="M126" s="10">
        <v>-2.6735194302744798</v>
      </c>
      <c r="N126" s="13"/>
      <c r="O126" s="10">
        <v>8.8491679728513901</v>
      </c>
      <c r="P126" s="10">
        <v>70.896361613785899</v>
      </c>
      <c r="Q126" s="10">
        <v>-2.8788678053522099</v>
      </c>
      <c r="R126" s="13"/>
      <c r="S126" s="8">
        <v>0</v>
      </c>
      <c r="T126" s="13"/>
      <c r="U126" s="13">
        <f t="shared" si="8"/>
        <v>0</v>
      </c>
      <c r="V126" s="13">
        <f t="shared" si="9"/>
        <v>25.487928053141275</v>
      </c>
      <c r="W126" s="13">
        <f t="shared" si="16"/>
        <v>26.818620199051935</v>
      </c>
      <c r="X126" s="13">
        <f t="shared" si="17"/>
        <v>15.053024977228574</v>
      </c>
      <c r="Z126" t="str">
        <f t="shared" si="12"/>
        <v>14.28,61.2</v>
      </c>
      <c r="AA126" t="str">
        <f t="shared" si="13"/>
        <v>34.459872158011,61.1964364589761</v>
      </c>
      <c r="AB126" t="str">
        <f t="shared" si="14"/>
        <v>34.768193928755,60.927388422298</v>
      </c>
      <c r="AC126" t="str">
        <f t="shared" si="15"/>
        <v>8.84916797285139,70.8963616137859</v>
      </c>
    </row>
    <row r="127" spans="2:29" x14ac:dyDescent="0.2">
      <c r="B127" s="3">
        <v>125</v>
      </c>
      <c r="C127" s="6">
        <v>13.44</v>
      </c>
      <c r="D127" s="6">
        <v>61.2</v>
      </c>
      <c r="E127" s="8">
        <v>0</v>
      </c>
      <c r="F127" s="7"/>
      <c r="G127" s="10">
        <v>33.701624342416899</v>
      </c>
      <c r="H127" s="10">
        <v>61.557906029129299</v>
      </c>
      <c r="I127" s="10">
        <v>-2.6735194302744798</v>
      </c>
      <c r="K127" s="10">
        <v>34.018544964272301</v>
      </c>
      <c r="L127" s="10">
        <v>61.306369200240603</v>
      </c>
      <c r="M127" s="10">
        <v>-2.7460004588493501</v>
      </c>
      <c r="N127" s="13"/>
      <c r="O127" s="10">
        <v>8.0379918287040404</v>
      </c>
      <c r="P127" s="10">
        <v>71.114520416418898</v>
      </c>
      <c r="Q127" s="10">
        <v>-2.9649785686341299</v>
      </c>
      <c r="R127" s="13"/>
      <c r="S127" s="8">
        <v>0</v>
      </c>
      <c r="T127" s="13"/>
      <c r="U127" s="13">
        <f t="shared" si="8"/>
        <v>0</v>
      </c>
      <c r="V127" s="13">
        <f t="shared" si="9"/>
        <v>26.818620199051935</v>
      </c>
      <c r="W127" s="13">
        <f t="shared" si="16"/>
        <v>22.665763166944743</v>
      </c>
      <c r="X127" s="13">
        <f t="shared" si="17"/>
        <v>10.119241670524474</v>
      </c>
      <c r="Z127" t="str">
        <f t="shared" si="12"/>
        <v>13.44,61.2</v>
      </c>
      <c r="AA127" t="str">
        <f t="shared" si="13"/>
        <v>33.7016243424169,61.5579060291293</v>
      </c>
      <c r="AB127" t="str">
        <f t="shared" si="14"/>
        <v>34.0185449642723,61.3063692002406</v>
      </c>
      <c r="AC127" t="str">
        <f t="shared" si="15"/>
        <v>8.03799182870404,71.1145204164189</v>
      </c>
    </row>
    <row r="128" spans="2:29" x14ac:dyDescent="0.2">
      <c r="B128" s="3">
        <v>126</v>
      </c>
      <c r="C128" s="6">
        <v>12.6</v>
      </c>
      <c r="D128" s="6">
        <v>61.2</v>
      </c>
      <c r="E128" s="8">
        <v>0</v>
      </c>
      <c r="F128" s="7"/>
      <c r="G128" s="10">
        <v>32.951975377934197</v>
      </c>
      <c r="H128" s="10">
        <v>61.9368868070719</v>
      </c>
      <c r="I128" s="10">
        <v>-2.7460004588493501</v>
      </c>
      <c r="K128" s="10">
        <v>33.243419406509602</v>
      </c>
      <c r="L128" s="10">
        <v>61.6300671608507</v>
      </c>
      <c r="M128" s="10">
        <v>-2.73578375650506</v>
      </c>
      <c r="N128" s="13"/>
      <c r="O128" s="10">
        <v>7.2110586746956997</v>
      </c>
      <c r="P128" s="10">
        <v>71.262106184031495</v>
      </c>
      <c r="Q128" s="10">
        <v>-2.9429769169874702</v>
      </c>
      <c r="R128" s="13"/>
      <c r="S128" s="8">
        <v>0</v>
      </c>
      <c r="T128" s="13"/>
      <c r="U128" s="13">
        <f t="shared" si="8"/>
        <v>0</v>
      </c>
      <c r="V128" s="13">
        <f t="shared" si="9"/>
        <v>22.665763166944743</v>
      </c>
      <c r="W128" s="13">
        <f t="shared" si="16"/>
        <v>23.251137091814002</v>
      </c>
      <c r="X128" s="13">
        <f t="shared" si="17"/>
        <v>11.379843452195132</v>
      </c>
      <c r="Z128" t="str">
        <f t="shared" si="12"/>
        <v>12.6,61.2</v>
      </c>
      <c r="AA128" t="str">
        <f t="shared" si="13"/>
        <v>32.9519753779342,61.9368868070719</v>
      </c>
      <c r="AB128" t="str">
        <f t="shared" si="14"/>
        <v>33.2434194065096,61.6300671608507</v>
      </c>
      <c r="AC128" t="str">
        <f t="shared" si="15"/>
        <v>7.2110586746957,71.2621061840315</v>
      </c>
    </row>
    <row r="129" spans="2:29" x14ac:dyDescent="0.2">
      <c r="B129" s="3">
        <v>127</v>
      </c>
      <c r="C129" s="6">
        <v>11.76</v>
      </c>
      <c r="D129" s="6">
        <v>61.2</v>
      </c>
      <c r="E129" s="8">
        <v>0</v>
      </c>
      <c r="F129" s="7"/>
      <c r="G129" s="10">
        <v>32.176849820171498</v>
      </c>
      <c r="H129" s="10">
        <v>62.260584767681998</v>
      </c>
      <c r="I129" s="10">
        <v>-2.73578375650506</v>
      </c>
      <c r="K129" s="10">
        <v>32.471641370767998</v>
      </c>
      <c r="L129" s="10">
        <v>61.961667316982698</v>
      </c>
      <c r="M129" s="10">
        <v>-2.7079453839355399</v>
      </c>
      <c r="N129" s="13"/>
      <c r="O129" s="10">
        <v>6.3875725291645002</v>
      </c>
      <c r="P129" s="10">
        <v>71.427848659330294</v>
      </c>
      <c r="Q129" s="10">
        <v>-2.9280401101716098</v>
      </c>
      <c r="R129" s="13"/>
      <c r="S129" s="8">
        <v>0</v>
      </c>
      <c r="T129" s="13"/>
      <c r="U129" s="13">
        <f t="shared" si="8"/>
        <v>0</v>
      </c>
      <c r="V129" s="13">
        <f t="shared" si="9"/>
        <v>23.251137091814002</v>
      </c>
      <c r="W129" s="13">
        <f t="shared" si="16"/>
        <v>24.846158348560238</v>
      </c>
      <c r="X129" s="13">
        <f t="shared" si="17"/>
        <v>12.235659442146186</v>
      </c>
      <c r="Z129" t="str">
        <f t="shared" si="12"/>
        <v>11.76,61.2</v>
      </c>
      <c r="AA129" t="str">
        <f t="shared" si="13"/>
        <v>32.1768498201715,62.260584767682</v>
      </c>
      <c r="AB129" t="str">
        <f t="shared" si="14"/>
        <v>32.471641370768,61.9616673169827</v>
      </c>
      <c r="AC129" t="str">
        <f t="shared" si="15"/>
        <v>6.3875725291645,71.4278486593303</v>
      </c>
    </row>
    <row r="130" spans="2:29" x14ac:dyDescent="0.2">
      <c r="B130" s="3">
        <v>128</v>
      </c>
      <c r="C130" s="6">
        <v>10.92</v>
      </c>
      <c r="D130" s="6">
        <v>61.2</v>
      </c>
      <c r="E130" s="8">
        <v>0</v>
      </c>
      <c r="F130" s="7"/>
      <c r="G130" s="10">
        <v>31.405071784429801</v>
      </c>
      <c r="H130" s="10">
        <v>62.592184923814003</v>
      </c>
      <c r="I130" s="10">
        <v>-3.14159265358979</v>
      </c>
      <c r="K130" s="10">
        <v>31.709392386461001</v>
      </c>
      <c r="L130" s="10">
        <v>62.314621260044497</v>
      </c>
      <c r="M130" s="10">
        <v>-2.8780539786612298</v>
      </c>
      <c r="N130" s="13"/>
      <c r="O130" s="10">
        <v>5.5666538164592403</v>
      </c>
      <c r="P130" s="10">
        <v>71.605872441815507</v>
      </c>
      <c r="Q130" s="10">
        <v>-3.1061836430971002</v>
      </c>
      <c r="R130" s="13"/>
      <c r="S130" s="8">
        <v>0</v>
      </c>
      <c r="T130" s="13"/>
      <c r="U130" s="13">
        <f t="shared" si="8"/>
        <v>0</v>
      </c>
      <c r="V130" s="13">
        <f t="shared" si="9"/>
        <v>0</v>
      </c>
      <c r="W130" s="13">
        <f t="shared" si="16"/>
        <v>15.099653811876834</v>
      </c>
      <c r="X130" s="13">
        <f t="shared" si="17"/>
        <v>2.0287868579657413</v>
      </c>
      <c r="Z130" t="str">
        <f t="shared" si="12"/>
        <v>10.92,61.2</v>
      </c>
      <c r="AA130" t="str">
        <f t="shared" si="13"/>
        <v>31.4050717844298,62.592184923814</v>
      </c>
      <c r="AB130" t="str">
        <f t="shared" si="14"/>
        <v>31.709392386461,62.3146212600445</v>
      </c>
      <c r="AC130" t="str">
        <f t="shared" si="15"/>
        <v>5.56665381645924,71.6058724418155</v>
      </c>
    </row>
    <row r="131" spans="2:29" x14ac:dyDescent="0.2">
      <c r="B131" s="3">
        <v>129</v>
      </c>
      <c r="C131" s="6">
        <v>10.08</v>
      </c>
      <c r="D131" s="6">
        <v>61.2</v>
      </c>
      <c r="E131" s="8">
        <v>0</v>
      </c>
      <c r="F131" s="7"/>
      <c r="G131" s="10">
        <v>30.565071784429801</v>
      </c>
      <c r="H131" s="10">
        <v>62.592184923814003</v>
      </c>
      <c r="I131" s="10">
        <v>-3.14159265358979</v>
      </c>
      <c r="K131" s="10">
        <v>30.8983940543771</v>
      </c>
      <c r="L131" s="10">
        <v>62.533440147157002</v>
      </c>
      <c r="M131" s="10">
        <v>-2.8816746460734599</v>
      </c>
      <c r="N131" s="13"/>
      <c r="O131" s="10">
        <v>4.7271803566113197</v>
      </c>
      <c r="P131" s="10">
        <v>71.6356097956144</v>
      </c>
      <c r="Q131" s="10">
        <v>-3.0817712754361799</v>
      </c>
      <c r="R131" s="13"/>
      <c r="S131" s="8">
        <v>0</v>
      </c>
      <c r="T131" s="13"/>
      <c r="U131" s="13">
        <f t="shared" si="8"/>
        <v>0</v>
      </c>
      <c r="V131" s="13">
        <f t="shared" si="9"/>
        <v>0</v>
      </c>
      <c r="W131" s="13">
        <f t="shared" si="16"/>
        <v>14.892204850135528</v>
      </c>
      <c r="X131" s="13">
        <f t="shared" si="17"/>
        <v>3.4275124928581704</v>
      </c>
      <c r="Z131" t="str">
        <f t="shared" si="12"/>
        <v>10.08,61.2</v>
      </c>
      <c r="AA131" t="str">
        <f t="shared" si="13"/>
        <v>30.5650717844298,62.592184923814</v>
      </c>
      <c r="AB131" t="str">
        <f t="shared" si="14"/>
        <v>30.8983940543771,62.533440147157</v>
      </c>
      <c r="AC131" t="str">
        <f t="shared" si="15"/>
        <v>4.72718035661132,71.6356097956144</v>
      </c>
    </row>
    <row r="132" spans="2:29" x14ac:dyDescent="0.2">
      <c r="B132" s="3">
        <v>130</v>
      </c>
      <c r="C132" s="6">
        <v>9.24</v>
      </c>
      <c r="D132" s="6">
        <v>61.2</v>
      </c>
      <c r="E132" s="8">
        <v>0</v>
      </c>
      <c r="F132" s="7"/>
      <c r="G132" s="10">
        <v>29.725071784429801</v>
      </c>
      <c r="H132" s="10">
        <v>62.592184923814003</v>
      </c>
      <c r="I132" s="10">
        <v>-2.7648684234607002</v>
      </c>
      <c r="K132" s="10">
        <v>30.0866087693875</v>
      </c>
      <c r="L132" s="10">
        <v>62.749321251180497</v>
      </c>
      <c r="M132" s="10">
        <v>-2.7648684234607002</v>
      </c>
      <c r="N132" s="13"/>
      <c r="O132" s="10">
        <v>3.8886829193015999</v>
      </c>
      <c r="P132" s="10">
        <v>71.685829787898598</v>
      </c>
      <c r="Q132" s="10">
        <v>-2.97269455928731</v>
      </c>
      <c r="R132" s="13"/>
      <c r="S132" s="8">
        <v>0</v>
      </c>
      <c r="T132" s="13"/>
      <c r="U132" s="13">
        <f t="shared" ref="U132:U175" si="18">E132-S132</f>
        <v>0</v>
      </c>
      <c r="V132" s="13">
        <f t="shared" ref="V132:V142" si="19">(I132-S132)*180/PI()+180</f>
        <v>21.584708426712211</v>
      </c>
      <c r="W132" s="13">
        <f t="shared" si="16"/>
        <v>21.584708426712211</v>
      </c>
      <c r="X132" s="13">
        <f t="shared" si="17"/>
        <v>9.6771479713348469</v>
      </c>
      <c r="Z132" t="str">
        <f t="shared" ref="Z132:Z175" si="20">C132&amp;","&amp;D132</f>
        <v>9.24,61.2</v>
      </c>
      <c r="AA132" t="str">
        <f t="shared" ref="AA132:AA175" si="21">G132&amp;","&amp;H132</f>
        <v>29.7250717844298,62.592184923814</v>
      </c>
      <c r="AB132" t="str">
        <f t="shared" ref="AB132:AB175" si="22">K132&amp;","&amp;L132</f>
        <v>30.0866087693875,62.7493212511805</v>
      </c>
      <c r="AC132" t="str">
        <f t="shared" ref="AC132:AC175" si="23">O132&amp;","&amp;P132</f>
        <v>3.8886829193016,71.6858297878986</v>
      </c>
    </row>
    <row r="133" spans="2:29" x14ac:dyDescent="0.2">
      <c r="B133" s="3">
        <v>131</v>
      </c>
      <c r="C133" s="6">
        <v>8.4</v>
      </c>
      <c r="D133" s="6">
        <v>61.2</v>
      </c>
      <c r="E133" s="8">
        <v>0</v>
      </c>
      <c r="F133" s="7"/>
      <c r="G133" s="10">
        <v>28.943977035665402</v>
      </c>
      <c r="H133" s="10">
        <v>62.901201094026099</v>
      </c>
      <c r="I133" s="10">
        <v>-2.7648684234607002</v>
      </c>
      <c r="K133" s="10">
        <v>29.305514020623001</v>
      </c>
      <c r="L133" s="10">
        <v>63.058337421392601</v>
      </c>
      <c r="M133" s="10">
        <v>-2.7084356979796702</v>
      </c>
      <c r="N133" s="13"/>
      <c r="O133" s="10">
        <v>3.0606356224251101</v>
      </c>
      <c r="P133" s="10">
        <v>71.827030616988097</v>
      </c>
      <c r="Q133" s="10">
        <v>-2.9133109193136502</v>
      </c>
      <c r="R133" s="13"/>
      <c r="S133" s="8">
        <v>0</v>
      </c>
      <c r="T133" s="13"/>
      <c r="U133" s="13">
        <f t="shared" si="18"/>
        <v>0</v>
      </c>
      <c r="V133" s="13">
        <f t="shared" si="19"/>
        <v>21.584708426712211</v>
      </c>
      <c r="W133" s="13">
        <f t="shared" si="16"/>
        <v>24.818065423195605</v>
      </c>
      <c r="X133" s="13">
        <f t="shared" si="17"/>
        <v>13.079579913949942</v>
      </c>
      <c r="Z133" t="str">
        <f t="shared" si="20"/>
        <v>8.4,61.2</v>
      </c>
      <c r="AA133" t="str">
        <f t="shared" si="21"/>
        <v>28.9439770356654,62.9012010940261</v>
      </c>
      <c r="AB133" t="str">
        <f t="shared" si="22"/>
        <v>29.305514020623,63.0583374213926</v>
      </c>
      <c r="AC133" t="str">
        <f t="shared" si="23"/>
        <v>3.06063562242511,71.8270306169881</v>
      </c>
    </row>
    <row r="134" spans="2:29" x14ac:dyDescent="0.2">
      <c r="B134" s="3">
        <v>132</v>
      </c>
      <c r="C134" s="6">
        <v>7.56</v>
      </c>
      <c r="D134" s="6">
        <v>61.2</v>
      </c>
      <c r="E134" s="8">
        <v>0</v>
      </c>
      <c r="F134" s="7"/>
      <c r="G134" s="10">
        <v>28.162882286900899</v>
      </c>
      <c r="H134" s="10">
        <v>63.210217264238302</v>
      </c>
      <c r="I134" s="10">
        <v>-3.14159265358979</v>
      </c>
      <c r="K134" s="10">
        <v>28.543092069673101</v>
      </c>
      <c r="L134" s="10">
        <v>63.4109175806609</v>
      </c>
      <c r="M134" s="10">
        <v>-2.9391230495486198</v>
      </c>
      <c r="N134" s="13"/>
      <c r="O134" s="10">
        <v>2.2424280083413302</v>
      </c>
      <c r="P134" s="10">
        <v>72.017126119973597</v>
      </c>
      <c r="Q134" s="10">
        <v>3.0852045294063899</v>
      </c>
      <c r="R134" s="13"/>
      <c r="S134" s="8">
        <v>0</v>
      </c>
      <c r="T134" s="13"/>
      <c r="U134" s="13">
        <f t="shared" si="18"/>
        <v>0</v>
      </c>
      <c r="V134" s="13">
        <f t="shared" si="19"/>
        <v>0</v>
      </c>
      <c r="W134" s="13">
        <f t="shared" si="16"/>
        <v>11.600653791244156</v>
      </c>
      <c r="X134" s="13">
        <f t="shared" si="17"/>
        <v>356.76919846963142</v>
      </c>
      <c r="Z134" t="str">
        <f t="shared" si="20"/>
        <v>7.56,61.2</v>
      </c>
      <c r="AA134" t="str">
        <f t="shared" si="21"/>
        <v>28.1628822869009,63.2102172642383</v>
      </c>
      <c r="AB134" t="str">
        <f t="shared" si="22"/>
        <v>28.5430920696731,63.4109175806609</v>
      </c>
      <c r="AC134" t="str">
        <f t="shared" si="23"/>
        <v>2.24242800834133,72.0171261199736</v>
      </c>
    </row>
    <row r="135" spans="2:29" x14ac:dyDescent="0.2">
      <c r="B135" s="3">
        <v>133</v>
      </c>
      <c r="C135" s="6">
        <v>6.72</v>
      </c>
      <c r="D135" s="6">
        <v>61.2</v>
      </c>
      <c r="E135" s="8">
        <v>0</v>
      </c>
      <c r="F135" s="7"/>
      <c r="G135" s="10">
        <v>27.322882286900899</v>
      </c>
      <c r="H135" s="10">
        <v>63.210217264238302</v>
      </c>
      <c r="I135" s="10">
        <v>-2.7757942912417701</v>
      </c>
      <c r="K135" s="10">
        <v>27.720250787411199</v>
      </c>
      <c r="L135" s="10">
        <v>63.5798324237199</v>
      </c>
      <c r="M135" s="10">
        <v>-2.7757942912417701</v>
      </c>
      <c r="N135" s="13"/>
      <c r="O135" s="10">
        <v>1.4037630951598401</v>
      </c>
      <c r="P135" s="10">
        <v>71.969785192666606</v>
      </c>
      <c r="Q135" s="10">
        <v>-3.0003109634368998</v>
      </c>
      <c r="R135" s="13"/>
      <c r="S135" s="8">
        <v>0</v>
      </c>
      <c r="T135" s="13"/>
      <c r="U135" s="13">
        <f t="shared" si="18"/>
        <v>0</v>
      </c>
      <c r="V135" s="13">
        <f t="shared" si="19"/>
        <v>20.958702315338911</v>
      </c>
      <c r="W135" s="13">
        <f t="shared" si="16"/>
        <v>20.958702315338911</v>
      </c>
      <c r="X135" s="13">
        <f t="shared" si="17"/>
        <v>8.0948445682357715</v>
      </c>
      <c r="Z135" t="str">
        <f t="shared" si="20"/>
        <v>6.72,61.2</v>
      </c>
      <c r="AA135" t="str">
        <f t="shared" si="21"/>
        <v>27.3228822869009,63.2102172642383</v>
      </c>
      <c r="AB135" t="str">
        <f t="shared" si="22"/>
        <v>27.7202507874112,63.5798324237199</v>
      </c>
      <c r="AC135" t="str">
        <f t="shared" si="23"/>
        <v>1.40376309515984,71.9697851926666</v>
      </c>
    </row>
    <row r="136" spans="2:29" x14ac:dyDescent="0.2">
      <c r="B136" s="3">
        <v>134</v>
      </c>
      <c r="C136" s="6">
        <v>5.88</v>
      </c>
      <c r="D136" s="6">
        <v>61.2</v>
      </c>
      <c r="E136" s="8">
        <v>0</v>
      </c>
      <c r="F136" s="7"/>
      <c r="G136" s="10">
        <v>26.5384579564593</v>
      </c>
      <c r="H136" s="10">
        <v>63.510681022137803</v>
      </c>
      <c r="I136" s="10">
        <v>-2.7757942912417701</v>
      </c>
      <c r="K136" s="10">
        <v>26.935826456969501</v>
      </c>
      <c r="L136" s="10">
        <v>63.8802961816194</v>
      </c>
      <c r="M136" s="10">
        <v>-2.8153265936425398</v>
      </c>
      <c r="N136" s="13"/>
      <c r="O136" s="10">
        <v>0.57213257636620096</v>
      </c>
      <c r="P136" s="10">
        <v>72.088067398475602</v>
      </c>
      <c r="Q136" s="10">
        <v>-3.0237840652870598</v>
      </c>
      <c r="R136" s="13"/>
      <c r="S136" s="8">
        <v>0</v>
      </c>
      <c r="T136" s="13"/>
      <c r="U136" s="13">
        <f t="shared" si="18"/>
        <v>0</v>
      </c>
      <c r="V136" s="13">
        <f t="shared" si="19"/>
        <v>20.958702315338911</v>
      </c>
      <c r="W136" s="13">
        <f t="shared" si="16"/>
        <v>18.693668233339935</v>
      </c>
      <c r="X136" s="13">
        <f t="shared" si="17"/>
        <v>6.7499349001409144</v>
      </c>
      <c r="Z136" t="str">
        <f t="shared" si="20"/>
        <v>5.88,61.2</v>
      </c>
      <c r="AA136" t="str">
        <f t="shared" si="21"/>
        <v>26.5384579564593,63.5106810221378</v>
      </c>
      <c r="AB136" t="str">
        <f t="shared" si="22"/>
        <v>26.9358264569695,63.8802961816194</v>
      </c>
      <c r="AC136" t="str">
        <f t="shared" si="23"/>
        <v>0.572132576366201,72.0880673984756</v>
      </c>
    </row>
    <row r="137" spans="2:29" x14ac:dyDescent="0.2">
      <c r="B137" s="3">
        <v>135</v>
      </c>
      <c r="C137" s="6">
        <v>5.04</v>
      </c>
      <c r="D137" s="6">
        <v>61.2</v>
      </c>
      <c r="E137" s="8">
        <v>0</v>
      </c>
      <c r="F137" s="7"/>
      <c r="G137" s="10">
        <v>25.754033626017598</v>
      </c>
      <c r="H137" s="10">
        <v>63.811144780037402</v>
      </c>
      <c r="I137" s="10">
        <v>-2.8153265936425398</v>
      </c>
      <c r="K137" s="10">
        <v>26.140140066483099</v>
      </c>
      <c r="L137" s="10">
        <v>64.149523163912804</v>
      </c>
      <c r="M137" s="10">
        <v>-2.8509558858454498</v>
      </c>
      <c r="N137" s="13"/>
      <c r="O137" s="10">
        <v>-0.26204503965471099</v>
      </c>
      <c r="P137" s="10">
        <v>72.186797864541902</v>
      </c>
      <c r="Q137" s="10">
        <v>-3.0689138129944</v>
      </c>
      <c r="R137" s="13"/>
      <c r="S137" s="8">
        <v>0</v>
      </c>
      <c r="T137" s="13"/>
      <c r="U137" s="13">
        <f t="shared" si="18"/>
        <v>0</v>
      </c>
      <c r="V137" s="13">
        <f t="shared" si="19"/>
        <v>18.693668233339935</v>
      </c>
      <c r="W137" s="13">
        <f t="shared" si="16"/>
        <v>16.6522601630748</v>
      </c>
      <c r="X137" s="13">
        <f t="shared" si="17"/>
        <v>4.1641908260201035</v>
      </c>
      <c r="Z137" t="str">
        <f t="shared" si="20"/>
        <v>5.04,61.2</v>
      </c>
      <c r="AA137" t="str">
        <f t="shared" si="21"/>
        <v>25.7540336260176,63.8111447800374</v>
      </c>
      <c r="AB137" t="str">
        <f t="shared" si="22"/>
        <v>26.1401400664831,64.1495231639128</v>
      </c>
      <c r="AC137" t="str">
        <f t="shared" si="23"/>
        <v>-0.262045039654711,72.1867978645419</v>
      </c>
    </row>
    <row r="138" spans="2:29" x14ac:dyDescent="0.2">
      <c r="B138" s="3">
        <v>136</v>
      </c>
      <c r="C138" s="6">
        <v>4.2</v>
      </c>
      <c r="D138" s="6">
        <v>61.2</v>
      </c>
      <c r="E138" s="8">
        <v>0</v>
      </c>
      <c r="F138" s="7"/>
      <c r="G138" s="10">
        <v>24.9583472355312</v>
      </c>
      <c r="H138" s="10">
        <v>64.080371762330699</v>
      </c>
      <c r="I138" s="10">
        <v>-2.64136958578242</v>
      </c>
      <c r="K138" s="10">
        <v>25.335368325758701</v>
      </c>
      <c r="L138" s="10">
        <v>64.390235534453396</v>
      </c>
      <c r="M138" s="10">
        <v>-2.64136958578242</v>
      </c>
      <c r="N138" s="13"/>
      <c r="O138" s="10">
        <v>-1.09982748621968</v>
      </c>
      <c r="P138" s="10">
        <v>72.247794358110099</v>
      </c>
      <c r="Q138" s="10">
        <v>-2.86448725046459</v>
      </c>
      <c r="R138" s="13"/>
      <c r="S138" s="8">
        <v>0</v>
      </c>
      <c r="T138" s="13"/>
      <c r="U138" s="13">
        <f t="shared" si="18"/>
        <v>0</v>
      </c>
      <c r="V138" s="13">
        <f t="shared" si="19"/>
        <v>28.660670600448867</v>
      </c>
      <c r="W138" s="13">
        <f t="shared" si="16"/>
        <v>28.660670600448867</v>
      </c>
      <c r="X138" s="13">
        <f t="shared" si="17"/>
        <v>15.876970079345426</v>
      </c>
      <c r="Z138" t="str">
        <f t="shared" si="20"/>
        <v>4.2,61.2</v>
      </c>
      <c r="AA138" t="str">
        <f t="shared" si="21"/>
        <v>24.9583472355312,64.0803717623307</v>
      </c>
      <c r="AB138" t="str">
        <f t="shared" si="22"/>
        <v>25.3353683257587,64.3902355344534</v>
      </c>
      <c r="AC138" t="str">
        <f t="shared" si="23"/>
        <v>-1.09982748621968,72.2477943581101</v>
      </c>
    </row>
    <row r="139" spans="2:29" x14ac:dyDescent="0.2">
      <c r="B139" s="3">
        <v>137</v>
      </c>
      <c r="C139" s="6">
        <v>3.36</v>
      </c>
      <c r="D139" s="6">
        <v>61.2</v>
      </c>
      <c r="E139" s="8">
        <v>0</v>
      </c>
      <c r="F139" s="7"/>
      <c r="G139" s="10">
        <v>24.221267735182099</v>
      </c>
      <c r="H139" s="10">
        <v>64.483253643488396</v>
      </c>
      <c r="I139" s="10">
        <v>-2.64136958578242</v>
      </c>
      <c r="K139" s="10">
        <v>24.5982888254096</v>
      </c>
      <c r="L139" s="10">
        <v>64.793117415611206</v>
      </c>
      <c r="M139" s="10">
        <v>-2.63920684547326</v>
      </c>
      <c r="N139" s="13"/>
      <c r="O139" s="10">
        <v>-1.90778261954757</v>
      </c>
      <c r="P139" s="10">
        <v>72.477595364481104</v>
      </c>
      <c r="Q139" s="10">
        <v>-2.88577614433424</v>
      </c>
      <c r="R139" s="13"/>
      <c r="S139" s="8">
        <v>0</v>
      </c>
      <c r="T139" s="13"/>
      <c r="U139" s="13">
        <f t="shared" si="18"/>
        <v>0</v>
      </c>
      <c r="V139" s="13">
        <f t="shared" si="19"/>
        <v>28.660670600448867</v>
      </c>
      <c r="W139" s="13">
        <f t="shared" si="16"/>
        <v>28.784586492346563</v>
      </c>
      <c r="X139" s="13">
        <f t="shared" si="17"/>
        <v>14.657206310112542</v>
      </c>
      <c r="Z139" t="str">
        <f t="shared" si="20"/>
        <v>3.36,61.2</v>
      </c>
      <c r="AA139" t="str">
        <f t="shared" si="21"/>
        <v>24.2212677351821,64.4832536434884</v>
      </c>
      <c r="AB139" t="str">
        <f t="shared" si="22"/>
        <v>24.5982888254096,64.7931174156112</v>
      </c>
      <c r="AC139" t="str">
        <f t="shared" si="23"/>
        <v>-1.90778261954757,72.4775953644811</v>
      </c>
    </row>
    <row r="140" spans="2:29" x14ac:dyDescent="0.2">
      <c r="B140" s="3">
        <v>138</v>
      </c>
      <c r="C140" s="6">
        <v>2.52</v>
      </c>
      <c r="D140" s="6">
        <v>61.2</v>
      </c>
      <c r="E140" s="8">
        <v>0</v>
      </c>
      <c r="F140" s="7"/>
      <c r="G140" s="10">
        <v>23.484188234833098</v>
      </c>
      <c r="H140" s="10">
        <v>64.886135524646207</v>
      </c>
      <c r="I140" s="10">
        <v>-2.63920684547326</v>
      </c>
      <c r="K140" s="10">
        <v>23.8620823770895</v>
      </c>
      <c r="L140" s="10">
        <v>65.197592464843893</v>
      </c>
      <c r="M140" s="10">
        <v>-2.58689670433608</v>
      </c>
      <c r="N140" s="13"/>
      <c r="O140" s="10">
        <v>-2.7204465099939901</v>
      </c>
      <c r="P140" s="10">
        <v>72.690145126100603</v>
      </c>
      <c r="Q140" s="10">
        <v>-2.8125631995667</v>
      </c>
      <c r="R140" s="13"/>
      <c r="S140" s="8">
        <v>0</v>
      </c>
      <c r="T140" s="13"/>
      <c r="U140" s="13">
        <f t="shared" si="18"/>
        <v>0</v>
      </c>
      <c r="V140" s="13">
        <f t="shared" si="19"/>
        <v>28.784586492346563</v>
      </c>
      <c r="W140" s="13">
        <f t="shared" si="16"/>
        <v>31.781736805240655</v>
      </c>
      <c r="X140" s="13">
        <f t="shared" si="17"/>
        <v>18.851999051017003</v>
      </c>
      <c r="Z140" t="str">
        <f t="shared" si="20"/>
        <v>2.52,61.2</v>
      </c>
      <c r="AA140" t="str">
        <f t="shared" si="21"/>
        <v>23.4841882348331,64.8861355246462</v>
      </c>
      <c r="AB140" t="str">
        <f t="shared" si="22"/>
        <v>23.8620823770895,65.1975924648439</v>
      </c>
      <c r="AC140" t="str">
        <f t="shared" si="23"/>
        <v>-2.72044650999399,72.6901451261006</v>
      </c>
    </row>
    <row r="141" spans="2:29" x14ac:dyDescent="0.2">
      <c r="B141" s="3">
        <v>139</v>
      </c>
      <c r="C141" s="6">
        <v>1.68</v>
      </c>
      <c r="D141" s="6">
        <v>61.2</v>
      </c>
      <c r="E141" s="8">
        <v>0</v>
      </c>
      <c r="F141" s="7"/>
      <c r="G141" s="10">
        <v>22.747981786512899</v>
      </c>
      <c r="H141" s="10">
        <v>65.290610573878894</v>
      </c>
      <c r="I141" s="10">
        <v>-2.7777858553483399</v>
      </c>
      <c r="K141" s="10">
        <v>23.148031457561501</v>
      </c>
      <c r="L141" s="10">
        <v>65.640007749752996</v>
      </c>
      <c r="M141" s="10">
        <v>-2.7777858553483399</v>
      </c>
      <c r="N141" s="13"/>
      <c r="O141" s="10">
        <v>-3.5153858831126299</v>
      </c>
      <c r="P141" s="10">
        <v>72.961569872698504</v>
      </c>
      <c r="Q141" s="10">
        <v>-2.9715641250809099</v>
      </c>
      <c r="R141" s="13"/>
      <c r="S141" s="8">
        <v>0</v>
      </c>
      <c r="T141" s="13"/>
      <c r="U141" s="13">
        <f t="shared" si="18"/>
        <v>0</v>
      </c>
      <c r="V141" s="13">
        <f t="shared" si="19"/>
        <v>20.844594097402734</v>
      </c>
      <c r="W141" s="13">
        <f t="shared" si="16"/>
        <v>20.844594097402734</v>
      </c>
      <c r="X141" s="13">
        <f t="shared" si="17"/>
        <v>9.741917080378812</v>
      </c>
      <c r="Z141" t="str">
        <f t="shared" si="20"/>
        <v>1.68,61.2</v>
      </c>
      <c r="AA141" t="str">
        <f t="shared" si="21"/>
        <v>22.7479817865129,65.2906105738789</v>
      </c>
      <c r="AB141" t="str">
        <f t="shared" si="22"/>
        <v>23.1480314575615,65.640007749753</v>
      </c>
      <c r="AC141" t="str">
        <f t="shared" si="23"/>
        <v>-3.51538588311263,72.9615698726985</v>
      </c>
    </row>
    <row r="142" spans="2:29" x14ac:dyDescent="0.2">
      <c r="B142" s="3">
        <v>140</v>
      </c>
      <c r="C142" s="6">
        <v>0.83999999999999597</v>
      </c>
      <c r="D142" s="6">
        <v>61.2</v>
      </c>
      <c r="E142" s="8">
        <v>0</v>
      </c>
      <c r="F142" s="7"/>
      <c r="G142" s="10">
        <v>21.9629606192727</v>
      </c>
      <c r="H142" s="10">
        <v>65.589511505601706</v>
      </c>
      <c r="I142" s="10">
        <v>-2.7777858553483399</v>
      </c>
      <c r="K142" s="10">
        <v>22.363010290321199</v>
      </c>
      <c r="L142" s="10">
        <v>65.938908681475795</v>
      </c>
      <c r="M142" s="10">
        <v>2.9290256958025398</v>
      </c>
      <c r="N142" s="13"/>
      <c r="O142" s="10">
        <v>-4.3432730327028404</v>
      </c>
      <c r="P142" s="10">
        <v>73.103706664358498</v>
      </c>
      <c r="Q142" s="10">
        <v>2.6650626790795302</v>
      </c>
      <c r="R142" s="13"/>
      <c r="S142" s="8">
        <v>0</v>
      </c>
      <c r="T142" s="13"/>
      <c r="U142" s="13">
        <f t="shared" si="18"/>
        <v>0</v>
      </c>
      <c r="V142" s="13">
        <f t="shared" si="19"/>
        <v>20.844594097402734</v>
      </c>
      <c r="W142" s="13">
        <f>(M142-S142)*180/PI()-180</f>
        <v>-12.179189545145164</v>
      </c>
      <c r="X142" s="13">
        <f>(Q142-S142)*180/PI()-180</f>
        <v>-27.303156350914776</v>
      </c>
      <c r="Z142" t="str">
        <f t="shared" si="20"/>
        <v>0.839999999999996,61.2</v>
      </c>
      <c r="AA142" t="str">
        <f t="shared" si="21"/>
        <v>21.9629606192727,65.5895115056017</v>
      </c>
      <c r="AB142" t="str">
        <f t="shared" si="22"/>
        <v>22.3630102903212,65.9389086814758</v>
      </c>
      <c r="AC142" t="str">
        <f t="shared" si="23"/>
        <v>-4.34327303270284,73.1037066643585</v>
      </c>
    </row>
    <row r="143" spans="2:29" x14ac:dyDescent="0.2">
      <c r="B143" s="3">
        <v>141</v>
      </c>
      <c r="C143" s="6">
        <v>0.83999999999999597</v>
      </c>
      <c r="D143" s="6">
        <v>61.2</v>
      </c>
      <c r="E143" s="8">
        <v>-1.5707963267949001</v>
      </c>
      <c r="F143" s="7"/>
      <c r="G143" s="10">
        <v>21.9629606192727</v>
      </c>
      <c r="H143" s="10">
        <v>65.589511505601706</v>
      </c>
      <c r="I143" s="10">
        <v>2.37320523569577</v>
      </c>
      <c r="K143" s="10">
        <v>22.363010290321199</v>
      </c>
      <c r="L143" s="10">
        <v>65.938908681475795</v>
      </c>
      <c r="M143" s="10">
        <v>2.37320523569577</v>
      </c>
      <c r="N143" s="13"/>
      <c r="O143" s="10">
        <v>-4.3432730327028404</v>
      </c>
      <c r="P143" s="10">
        <v>73.103706664358498</v>
      </c>
      <c r="Q143" s="10">
        <v>2.1969973081343199</v>
      </c>
      <c r="R143" s="13"/>
      <c r="S143" s="8">
        <v>-1.5707963267949001</v>
      </c>
      <c r="T143" s="13"/>
      <c r="U143" s="13">
        <f t="shared" si="18"/>
        <v>0</v>
      </c>
      <c r="V143" s="13">
        <f>(I143-S143)*180/PI()-180</f>
        <v>45.974643923717622</v>
      </c>
      <c r="W143" s="13">
        <f t="shared" ref="W143:W175" si="24">(M143-S143)*180/PI()-180</f>
        <v>45.974643923717622</v>
      </c>
      <c r="X143" s="13">
        <f t="shared" ref="X143:X175" si="25">(Q143-S143)*180/PI()-180</f>
        <v>35.878673357699569</v>
      </c>
      <c r="Z143" t="str">
        <f t="shared" si="20"/>
        <v>0.839999999999996,61.2</v>
      </c>
      <c r="AA143" t="str">
        <f t="shared" si="21"/>
        <v>21.9629606192727,65.5895115056017</v>
      </c>
      <c r="AB143" t="str">
        <f t="shared" si="22"/>
        <v>22.3630102903212,65.9389086814758</v>
      </c>
      <c r="AC143" t="str">
        <f t="shared" si="23"/>
        <v>-4.34327303270284,73.1037066643585</v>
      </c>
    </row>
    <row r="144" spans="2:29" x14ac:dyDescent="0.2">
      <c r="B144" s="3">
        <v>142</v>
      </c>
      <c r="C144" s="6">
        <v>0.83999999999999597</v>
      </c>
      <c r="D144" s="6">
        <v>59.290909090909103</v>
      </c>
      <c r="E144" s="8">
        <v>-1.5707963267949001</v>
      </c>
      <c r="F144" s="7"/>
      <c r="G144" s="10">
        <v>20.590262571155002</v>
      </c>
      <c r="H144" s="10">
        <v>64.262737912305695</v>
      </c>
      <c r="I144" s="10">
        <v>2.0376678796018401</v>
      </c>
      <c r="K144" s="10">
        <v>20.990312242203601</v>
      </c>
      <c r="L144" s="10">
        <v>64.612135088179798</v>
      </c>
      <c r="M144" s="10">
        <v>2.0376678796018401</v>
      </c>
      <c r="N144" s="13"/>
      <c r="O144" s="10">
        <v>-5.4621354734965903</v>
      </c>
      <c r="P144" s="10">
        <v>71.556846962331605</v>
      </c>
      <c r="Q144" s="10">
        <v>1.87678583219519</v>
      </c>
      <c r="R144" s="13"/>
      <c r="S144" s="8">
        <v>-1.5707963267949001</v>
      </c>
      <c r="T144" s="13"/>
      <c r="U144" s="13">
        <f t="shared" si="18"/>
        <v>0</v>
      </c>
      <c r="V144" s="13">
        <f t="shared" ref="V144:V175" si="26">(I144-S144)*180/PI()-180</f>
        <v>26.749769550557204</v>
      </c>
      <c r="W144" s="13">
        <f t="shared" si="24"/>
        <v>26.749769550557204</v>
      </c>
      <c r="X144" s="13">
        <f t="shared" si="25"/>
        <v>17.531907234732529</v>
      </c>
      <c r="Z144" t="str">
        <f t="shared" si="20"/>
        <v>0.839999999999996,59.2909090909091</v>
      </c>
      <c r="AA144" t="str">
        <f t="shared" si="21"/>
        <v>20.590262571155,64.2627379123057</v>
      </c>
      <c r="AB144" t="str">
        <f t="shared" si="22"/>
        <v>20.9903122422036,64.6121350881798</v>
      </c>
      <c r="AC144" t="str">
        <f t="shared" si="23"/>
        <v>-5.46213547349659,71.5568469623316</v>
      </c>
    </row>
    <row r="145" spans="2:29" x14ac:dyDescent="0.2">
      <c r="B145" s="3">
        <v>143</v>
      </c>
      <c r="C145" s="6">
        <v>0.83999999999999597</v>
      </c>
      <c r="D145" s="6">
        <v>57.381818181818197</v>
      </c>
      <c r="E145" s="8">
        <v>-1.5707963267949001</v>
      </c>
      <c r="F145" s="7"/>
      <c r="G145" s="10">
        <v>19.7309905859716</v>
      </c>
      <c r="H145" s="10">
        <v>62.557956473336901</v>
      </c>
      <c r="I145" s="10">
        <v>2.0376678796018401</v>
      </c>
      <c r="K145" s="10">
        <v>20.1310402570201</v>
      </c>
      <c r="L145" s="10">
        <v>62.907353649210997</v>
      </c>
      <c r="M145" s="10">
        <v>2.00916556499944</v>
      </c>
      <c r="N145" s="13"/>
      <c r="O145" s="10">
        <v>-6.0372240334818903</v>
      </c>
      <c r="P145" s="10">
        <v>69.736434578461498</v>
      </c>
      <c r="Q145" s="10">
        <v>1.88447663625701</v>
      </c>
      <c r="R145" s="13"/>
      <c r="S145" s="8">
        <v>-1.5707963267949001</v>
      </c>
      <c r="T145" s="13"/>
      <c r="U145" s="13">
        <f t="shared" si="18"/>
        <v>0</v>
      </c>
      <c r="V145" s="13">
        <f t="shared" si="26"/>
        <v>26.749769550557204</v>
      </c>
      <c r="W145" s="13">
        <f t="shared" si="24"/>
        <v>25.116707217485583</v>
      </c>
      <c r="X145" s="13">
        <f t="shared" si="25"/>
        <v>17.972557848536894</v>
      </c>
      <c r="Z145" t="str">
        <f t="shared" si="20"/>
        <v>0.839999999999996,57.3818181818182</v>
      </c>
      <c r="AA145" t="str">
        <f t="shared" si="21"/>
        <v>19.7309905859716,62.5579564733369</v>
      </c>
      <c r="AB145" t="str">
        <f t="shared" si="22"/>
        <v>20.1310402570201,62.907353649211</v>
      </c>
      <c r="AC145" t="str">
        <f t="shared" si="23"/>
        <v>-6.03722403348189,69.7364345784615</v>
      </c>
    </row>
    <row r="146" spans="2:29" x14ac:dyDescent="0.2">
      <c r="B146" s="3">
        <v>144</v>
      </c>
      <c r="C146" s="6">
        <v>0.83999999999999597</v>
      </c>
      <c r="D146" s="6">
        <v>55.472727272727298</v>
      </c>
      <c r="E146" s="8">
        <v>-1.5707963267949001</v>
      </c>
      <c r="F146" s="7"/>
      <c r="G146" s="10">
        <v>18.8717186007881</v>
      </c>
      <c r="H146" s="10">
        <v>60.853175034368199</v>
      </c>
      <c r="I146" s="10">
        <v>2.00916556499944</v>
      </c>
      <c r="K146" s="10">
        <v>19.3207009149287</v>
      </c>
      <c r="L146" s="10">
        <v>61.178776705643799</v>
      </c>
      <c r="M146" s="10">
        <v>2.0876128305460599</v>
      </c>
      <c r="N146" s="13"/>
      <c r="O146" s="10">
        <v>-6.62629588268672</v>
      </c>
      <c r="P146" s="10">
        <v>67.920498881458997</v>
      </c>
      <c r="Q146" s="10">
        <v>1.9596011629616701</v>
      </c>
      <c r="R146" s="13"/>
      <c r="S146" s="8">
        <v>-1.5707963267949001</v>
      </c>
      <c r="T146" s="13"/>
      <c r="U146" s="13">
        <f t="shared" si="18"/>
        <v>0</v>
      </c>
      <c r="V146" s="13">
        <f t="shared" si="26"/>
        <v>25.116707217485583</v>
      </c>
      <c r="W146" s="13">
        <f t="shared" si="24"/>
        <v>29.611404447648937</v>
      </c>
      <c r="X146" s="13">
        <f t="shared" si="25"/>
        <v>22.276876166631752</v>
      </c>
      <c r="Z146" t="str">
        <f t="shared" si="20"/>
        <v>0.839999999999996,55.4727272727273</v>
      </c>
      <c r="AA146" t="str">
        <f t="shared" si="21"/>
        <v>18.8717186007881,60.8531750343682</v>
      </c>
      <c r="AB146" t="str">
        <f t="shared" si="22"/>
        <v>19.3207009149287,61.1787767056438</v>
      </c>
      <c r="AC146" t="str">
        <f t="shared" si="23"/>
        <v>-6.62629588268672,67.920498881459</v>
      </c>
    </row>
    <row r="147" spans="2:29" x14ac:dyDescent="0.2">
      <c r="B147" s="3">
        <v>145</v>
      </c>
      <c r="C147" s="6">
        <v>0.83999999999999597</v>
      </c>
      <c r="D147" s="6">
        <v>53.563636363636398</v>
      </c>
      <c r="E147" s="8">
        <v>-1.5707963267949001</v>
      </c>
      <c r="F147" s="7"/>
      <c r="G147" s="10">
        <v>18.0613792586967</v>
      </c>
      <c r="H147" s="10">
        <v>59.124598090800902</v>
      </c>
      <c r="I147" s="10">
        <v>1.9715715112018599</v>
      </c>
      <c r="K147" s="10">
        <v>18.3773906025028</v>
      </c>
      <c r="L147" s="10">
        <v>59.519019568697402</v>
      </c>
      <c r="M147" s="10">
        <v>1.9715715112018599</v>
      </c>
      <c r="N147" s="13"/>
      <c r="O147" s="10">
        <v>-7.3499992686777</v>
      </c>
      <c r="P147" s="10">
        <v>66.153897197921196</v>
      </c>
      <c r="Q147" s="10">
        <v>1.8787826316929901</v>
      </c>
      <c r="R147" s="13"/>
      <c r="S147" s="8">
        <v>-1.5707963267949001</v>
      </c>
      <c r="T147" s="13"/>
      <c r="U147" s="13">
        <f t="shared" si="18"/>
        <v>0</v>
      </c>
      <c r="V147" s="13">
        <f t="shared" si="26"/>
        <v>22.962726600096488</v>
      </c>
      <c r="W147" s="13">
        <f t="shared" si="24"/>
        <v>22.962726600096488</v>
      </c>
      <c r="X147" s="13">
        <f t="shared" si="25"/>
        <v>17.646315418490332</v>
      </c>
      <c r="Z147" t="str">
        <f t="shared" si="20"/>
        <v>0.839999999999996,53.5636363636364</v>
      </c>
      <c r="AA147" t="str">
        <f t="shared" si="21"/>
        <v>18.0613792586967,59.1245980908009</v>
      </c>
      <c r="AB147" t="str">
        <f t="shared" si="22"/>
        <v>18.3773906025028,59.5190195686974</v>
      </c>
      <c r="AC147" t="str">
        <f t="shared" si="23"/>
        <v>-7.3499992686777,66.1538971979212</v>
      </c>
    </row>
    <row r="148" spans="2:29" x14ac:dyDescent="0.2">
      <c r="B148" s="3">
        <v>146</v>
      </c>
      <c r="C148" s="6">
        <v>0.83999999999999597</v>
      </c>
      <c r="D148" s="6">
        <v>51.654545454545399</v>
      </c>
      <c r="E148" s="8">
        <v>-1.5707963267949001</v>
      </c>
      <c r="F148" s="7"/>
      <c r="G148" s="10">
        <v>17.316581389201399</v>
      </c>
      <c r="H148" s="10">
        <v>57.366785747924403</v>
      </c>
      <c r="I148" s="10">
        <v>2.1377579183015398</v>
      </c>
      <c r="K148" s="10">
        <v>17.632592733007399</v>
      </c>
      <c r="L148" s="10">
        <v>57.761207225821003</v>
      </c>
      <c r="M148" s="10">
        <v>2.1377579183015398</v>
      </c>
      <c r="N148" s="13"/>
      <c r="O148" s="10">
        <v>-7.9287216782827903</v>
      </c>
      <c r="P148" s="10">
        <v>64.334636779016193</v>
      </c>
      <c r="Q148" s="10">
        <v>1.9996945893379601</v>
      </c>
      <c r="R148" s="13"/>
      <c r="S148" s="8">
        <v>-1.5707963267949001</v>
      </c>
      <c r="T148" s="13"/>
      <c r="U148" s="13">
        <f t="shared" si="18"/>
        <v>0</v>
      </c>
      <c r="V148" s="13">
        <f t="shared" si="26"/>
        <v>32.484506339351071</v>
      </c>
      <c r="W148" s="13">
        <f t="shared" si="24"/>
        <v>32.484506339351071</v>
      </c>
      <c r="X148" s="13">
        <f t="shared" si="25"/>
        <v>24.574060284211669</v>
      </c>
      <c r="Z148" t="str">
        <f t="shared" si="20"/>
        <v>0.839999999999996,51.6545454545454</v>
      </c>
      <c r="AA148" t="str">
        <f t="shared" si="21"/>
        <v>17.3165813892014,57.3667857479244</v>
      </c>
      <c r="AB148" t="str">
        <f t="shared" si="22"/>
        <v>17.6325927330074,57.761207225821</v>
      </c>
      <c r="AC148" t="str">
        <f t="shared" si="23"/>
        <v>-7.92872167828279,64.3346367790162</v>
      </c>
    </row>
    <row r="149" spans="2:29" x14ac:dyDescent="0.2">
      <c r="B149" s="3">
        <v>147</v>
      </c>
      <c r="C149" s="6">
        <v>0.83999999999999597</v>
      </c>
      <c r="D149" s="6">
        <v>49.7454545454545</v>
      </c>
      <c r="E149" s="8">
        <v>-1.5707963267949001</v>
      </c>
      <c r="F149" s="7"/>
      <c r="G149" s="10">
        <v>16.291263027727702</v>
      </c>
      <c r="H149" s="10">
        <v>55.756397485175903</v>
      </c>
      <c r="I149" s="10">
        <v>2.0356402808824998</v>
      </c>
      <c r="K149" s="10">
        <v>16.607274371533698</v>
      </c>
      <c r="L149" s="10">
        <v>56.150818963072403</v>
      </c>
      <c r="M149" s="10">
        <v>2.0356402808824998</v>
      </c>
      <c r="N149" s="13"/>
      <c r="O149" s="10">
        <v>-8.7226536117643594</v>
      </c>
      <c r="P149" s="10">
        <v>62.598462771558502</v>
      </c>
      <c r="Q149" s="10">
        <v>1.9037624770814701</v>
      </c>
      <c r="R149" s="13"/>
      <c r="S149" s="8">
        <v>-1.5707963267949001</v>
      </c>
      <c r="T149" s="13"/>
      <c r="U149" s="13">
        <f t="shared" si="18"/>
        <v>0</v>
      </c>
      <c r="V149" s="13">
        <f t="shared" si="26"/>
        <v>26.633596701392861</v>
      </c>
      <c r="W149" s="13">
        <f t="shared" si="24"/>
        <v>26.633596701392861</v>
      </c>
      <c r="X149" s="13">
        <f t="shared" si="25"/>
        <v>19.077555132139537</v>
      </c>
      <c r="Z149" t="str">
        <f t="shared" si="20"/>
        <v>0.839999999999996,49.7454545454545</v>
      </c>
      <c r="AA149" t="str">
        <f t="shared" si="21"/>
        <v>16.2912630277277,55.7563974851759</v>
      </c>
      <c r="AB149" t="str">
        <f t="shared" si="22"/>
        <v>16.6072743715337,56.1508189630724</v>
      </c>
      <c r="AC149" t="str">
        <f t="shared" si="23"/>
        <v>-8.72265361176436,62.5984627715585</v>
      </c>
    </row>
    <row r="150" spans="2:29" x14ac:dyDescent="0.2">
      <c r="B150" s="3">
        <v>148</v>
      </c>
      <c r="C150" s="6">
        <v>0.83999999999999497</v>
      </c>
      <c r="D150" s="6">
        <v>47.8363636363636</v>
      </c>
      <c r="E150" s="8">
        <v>-1.5707963267949001</v>
      </c>
      <c r="F150" s="7"/>
      <c r="G150" s="10">
        <v>15.435449419138401</v>
      </c>
      <c r="H150" s="10">
        <v>54.049877292934603</v>
      </c>
      <c r="I150" s="10">
        <v>2.18666881533581</v>
      </c>
      <c r="K150" s="10">
        <v>15.751460762944401</v>
      </c>
      <c r="L150" s="10">
        <v>54.444298770831203</v>
      </c>
      <c r="M150" s="10">
        <v>2.18666881533581</v>
      </c>
      <c r="N150" s="13"/>
      <c r="O150" s="10">
        <v>-9.3466355894105799</v>
      </c>
      <c r="P150" s="10">
        <v>60.794224818641403</v>
      </c>
      <c r="Q150" s="10">
        <v>2.0723794528815702</v>
      </c>
      <c r="R150" s="13"/>
      <c r="S150" s="8">
        <v>-1.5707963267949001</v>
      </c>
      <c r="T150" s="13"/>
      <c r="U150" s="13">
        <f t="shared" si="18"/>
        <v>0</v>
      </c>
      <c r="V150" s="13">
        <f t="shared" si="26"/>
        <v>35.286894311613679</v>
      </c>
      <c r="W150" s="13">
        <f t="shared" si="24"/>
        <v>35.286894311613679</v>
      </c>
      <c r="X150" s="13">
        <f t="shared" si="25"/>
        <v>28.738596199744819</v>
      </c>
      <c r="Z150" t="str">
        <f t="shared" si="20"/>
        <v>0.839999999999995,47.8363636363636</v>
      </c>
      <c r="AA150" t="str">
        <f t="shared" si="21"/>
        <v>15.4354494191384,54.0498772929346</v>
      </c>
      <c r="AB150" t="str">
        <f t="shared" si="22"/>
        <v>15.7514607629444,54.4442987708312</v>
      </c>
      <c r="AC150" t="str">
        <f t="shared" si="23"/>
        <v>-9.34663558941058,60.7942248186414</v>
      </c>
    </row>
    <row r="151" spans="2:29" x14ac:dyDescent="0.2">
      <c r="B151" s="3">
        <v>149</v>
      </c>
      <c r="C151" s="6">
        <v>0.83999999999999497</v>
      </c>
      <c r="D151" s="6">
        <v>45.927272727272701</v>
      </c>
      <c r="E151" s="8">
        <v>-1.5707963267949001</v>
      </c>
      <c r="F151" s="7"/>
      <c r="G151" s="10">
        <v>14.332623101919401</v>
      </c>
      <c r="H151" s="10">
        <v>52.491544140741901</v>
      </c>
      <c r="I151" s="10">
        <v>2.18666881533581</v>
      </c>
      <c r="K151" s="10">
        <v>14.6486344457255</v>
      </c>
      <c r="L151" s="10">
        <v>52.885965618638501</v>
      </c>
      <c r="M151" s="10">
        <v>2.2809712233368602</v>
      </c>
      <c r="N151" s="13"/>
      <c r="O151" s="10">
        <v>-10.2645537242028</v>
      </c>
      <c r="P151" s="10">
        <v>59.120291009617603</v>
      </c>
      <c r="Q151" s="10">
        <v>2.1515779780359501</v>
      </c>
      <c r="R151" s="13"/>
      <c r="S151" s="8">
        <v>-1.5707963267949001</v>
      </c>
      <c r="T151" s="13"/>
      <c r="U151" s="13">
        <f t="shared" si="18"/>
        <v>0</v>
      </c>
      <c r="V151" s="13">
        <f t="shared" si="26"/>
        <v>35.286894311613679</v>
      </c>
      <c r="W151" s="13">
        <f t="shared" si="24"/>
        <v>40.690024287994589</v>
      </c>
      <c r="X151" s="13">
        <f t="shared" si="25"/>
        <v>33.276337434751468</v>
      </c>
      <c r="Z151" t="str">
        <f t="shared" si="20"/>
        <v>0.839999999999995,45.9272727272727</v>
      </c>
      <c r="AA151" t="str">
        <f t="shared" si="21"/>
        <v>14.3326231019194,52.4915441407419</v>
      </c>
      <c r="AB151" t="str">
        <f t="shared" si="22"/>
        <v>14.6486344457255,52.8859656186385</v>
      </c>
      <c r="AC151" t="str">
        <f t="shared" si="23"/>
        <v>-10.2645537242028,59.1202910096176</v>
      </c>
    </row>
    <row r="152" spans="2:29" x14ac:dyDescent="0.2">
      <c r="B152" s="3">
        <v>150</v>
      </c>
      <c r="C152" s="6">
        <v>0.83999999999999497</v>
      </c>
      <c r="D152" s="6">
        <v>44.018181818181802</v>
      </c>
      <c r="E152" s="8">
        <v>-1.5707963267949001</v>
      </c>
      <c r="F152" s="7"/>
      <c r="G152" s="10">
        <v>13.2297967847005</v>
      </c>
      <c r="H152" s="10">
        <v>50.933210988549199</v>
      </c>
      <c r="I152" s="10">
        <v>2.2809712233368602</v>
      </c>
      <c r="K152" s="10">
        <v>13.4039713262397</v>
      </c>
      <c r="L152" s="10">
        <v>51.438401520518603</v>
      </c>
      <c r="M152" s="10">
        <v>2.2155986809407699</v>
      </c>
      <c r="N152" s="13"/>
      <c r="O152" s="10">
        <v>-11.3120291259249</v>
      </c>
      <c r="P152" s="10">
        <v>57.524226041654003</v>
      </c>
      <c r="Q152" s="10">
        <v>2.1146719419261601</v>
      </c>
      <c r="R152" s="13"/>
      <c r="S152" s="8">
        <v>-1.5707963267949001</v>
      </c>
      <c r="T152" s="13"/>
      <c r="U152" s="13">
        <f t="shared" si="18"/>
        <v>0</v>
      </c>
      <c r="V152" s="13">
        <f t="shared" si="26"/>
        <v>40.690024287994589</v>
      </c>
      <c r="W152" s="13">
        <f t="shared" si="24"/>
        <v>36.944453512658583</v>
      </c>
      <c r="X152" s="13">
        <f t="shared" si="25"/>
        <v>31.161777327103096</v>
      </c>
      <c r="Z152" t="str">
        <f t="shared" si="20"/>
        <v>0.839999999999995,44.0181818181818</v>
      </c>
      <c r="AA152" t="str">
        <f t="shared" si="21"/>
        <v>13.2297967847005,50.9332109885492</v>
      </c>
      <c r="AB152" t="str">
        <f t="shared" si="22"/>
        <v>13.4039713262397,51.4384015205186</v>
      </c>
      <c r="AC152" t="str">
        <f t="shared" si="23"/>
        <v>-11.3120291259249,57.524226041654</v>
      </c>
    </row>
    <row r="153" spans="2:29" x14ac:dyDescent="0.2">
      <c r="B153" s="3">
        <v>151</v>
      </c>
      <c r="C153" s="6">
        <v>0.83999999999999497</v>
      </c>
      <c r="D153" s="6">
        <v>42.109090909090902</v>
      </c>
      <c r="E153" s="8">
        <v>-1.5707963267949001</v>
      </c>
      <c r="F153" s="7"/>
      <c r="G153" s="10">
        <v>11.9851336652147</v>
      </c>
      <c r="H153" s="10">
        <v>49.4856468904294</v>
      </c>
      <c r="I153" s="10">
        <v>2.1148662222237</v>
      </c>
      <c r="K153" s="10">
        <v>12.256530394571801</v>
      </c>
      <c r="L153" s="10">
        <v>49.9126206032482</v>
      </c>
      <c r="M153" s="10">
        <v>2.1148662222237</v>
      </c>
      <c r="N153" s="13"/>
      <c r="O153" s="10">
        <v>-12.299900188395201</v>
      </c>
      <c r="P153" s="10">
        <v>55.890598525018802</v>
      </c>
      <c r="Q153" s="10">
        <v>2.0192160176079001</v>
      </c>
      <c r="R153" s="13"/>
      <c r="S153" s="8">
        <v>-1.5707963267949001</v>
      </c>
      <c r="T153" s="13"/>
      <c r="U153" s="13">
        <f t="shared" si="18"/>
        <v>0</v>
      </c>
      <c r="V153" s="13">
        <f t="shared" si="26"/>
        <v>31.172908768194702</v>
      </c>
      <c r="W153" s="13">
        <f t="shared" si="24"/>
        <v>31.172908768194702</v>
      </c>
      <c r="X153" s="13">
        <f t="shared" si="25"/>
        <v>25.692555734146623</v>
      </c>
      <c r="Z153" t="str">
        <f t="shared" si="20"/>
        <v>0.839999999999995,42.1090909090909</v>
      </c>
      <c r="AA153" t="str">
        <f t="shared" si="21"/>
        <v>11.9851336652147,49.4856468904294</v>
      </c>
      <c r="AB153" t="str">
        <f t="shared" si="22"/>
        <v>12.2565303945718,49.9126206032482</v>
      </c>
      <c r="AC153" t="str">
        <f t="shared" si="23"/>
        <v>-12.2999001883952,55.8905985250188</v>
      </c>
    </row>
    <row r="154" spans="2:29" x14ac:dyDescent="0.2">
      <c r="B154" s="3">
        <v>152</v>
      </c>
      <c r="C154" s="6">
        <v>0.83999999999999497</v>
      </c>
      <c r="D154" s="6">
        <v>40.200000000000003</v>
      </c>
      <c r="E154" s="8">
        <v>-1.5707963267949001</v>
      </c>
      <c r="F154" s="7"/>
      <c r="G154" s="10">
        <v>10.99694523975</v>
      </c>
      <c r="H154" s="10">
        <v>47.852211328507501</v>
      </c>
      <c r="I154" s="10">
        <v>1.9906421375329899</v>
      </c>
      <c r="K154" s="10">
        <v>11.268341969107</v>
      </c>
      <c r="L154" s="10">
        <v>48.279185041326301</v>
      </c>
      <c r="M154" s="10">
        <v>1.9906421375329899</v>
      </c>
      <c r="N154" s="13"/>
      <c r="O154" s="10">
        <v>-13.127571292169399</v>
      </c>
      <c r="P154" s="10">
        <v>54.170253023920097</v>
      </c>
      <c r="Q154" s="10">
        <v>1.88873331963029</v>
      </c>
      <c r="R154" s="13"/>
      <c r="S154" s="8">
        <v>-1.5707963267949001</v>
      </c>
      <c r="T154" s="13"/>
      <c r="U154" s="13">
        <f t="shared" si="18"/>
        <v>0</v>
      </c>
      <c r="V154" s="13">
        <f t="shared" si="26"/>
        <v>24.05539300154129</v>
      </c>
      <c r="W154" s="13">
        <f t="shared" si="24"/>
        <v>24.05539300154129</v>
      </c>
      <c r="X154" s="13">
        <f t="shared" si="25"/>
        <v>18.216447840549336</v>
      </c>
      <c r="Z154" t="str">
        <f t="shared" si="20"/>
        <v>0.839999999999995,40.2</v>
      </c>
      <c r="AA154" t="str">
        <f t="shared" si="21"/>
        <v>10.99694523975,47.8522113285075</v>
      </c>
      <c r="AB154" t="str">
        <f t="shared" si="22"/>
        <v>11.268341969107,48.2791850413263</v>
      </c>
      <c r="AC154" t="str">
        <f t="shared" si="23"/>
        <v>-13.1275712921694,54.1702530239201</v>
      </c>
    </row>
    <row r="155" spans="2:29" x14ac:dyDescent="0.2">
      <c r="B155" s="3">
        <v>153</v>
      </c>
      <c r="C155" s="6">
        <v>0.83999999999999497</v>
      </c>
      <c r="D155" s="6">
        <v>38.290909090909103</v>
      </c>
      <c r="E155" s="8">
        <v>-1.5707963267949001</v>
      </c>
      <c r="F155" s="7"/>
      <c r="G155" s="10">
        <v>10.218762253043799</v>
      </c>
      <c r="H155" s="10">
        <v>46.108921525183199</v>
      </c>
      <c r="I155" s="10">
        <v>1.9906421375329899</v>
      </c>
      <c r="K155" s="10">
        <v>10.4901589824008</v>
      </c>
      <c r="L155" s="10">
        <v>46.535895238001999</v>
      </c>
      <c r="M155" s="10">
        <v>1.9174106656527901</v>
      </c>
      <c r="N155" s="13"/>
      <c r="O155" s="10">
        <v>-13.7243676445269</v>
      </c>
      <c r="P155" s="10">
        <v>52.356841263456801</v>
      </c>
      <c r="Q155" s="10">
        <v>1.93499236437968</v>
      </c>
      <c r="R155" s="13"/>
      <c r="S155" s="8">
        <v>-1.5707963267949001</v>
      </c>
      <c r="T155" s="13"/>
      <c r="U155" s="13">
        <f t="shared" si="18"/>
        <v>0</v>
      </c>
      <c r="V155" s="13">
        <f t="shared" si="26"/>
        <v>24.05539300154129</v>
      </c>
      <c r="W155" s="13">
        <f t="shared" si="24"/>
        <v>19.859538735274896</v>
      </c>
      <c r="X155" s="13">
        <f t="shared" si="25"/>
        <v>20.866895868996181</v>
      </c>
      <c r="Z155" t="str">
        <f t="shared" si="20"/>
        <v>0.839999999999995,38.2909090909091</v>
      </c>
      <c r="AA155" t="str">
        <f t="shared" si="21"/>
        <v>10.2187622530438,46.1089215251832</v>
      </c>
      <c r="AB155" t="str">
        <f t="shared" si="22"/>
        <v>10.4901589824008,46.535895238002</v>
      </c>
      <c r="AC155" t="str">
        <f t="shared" si="23"/>
        <v>-13.7243676445269,52.3568412634568</v>
      </c>
    </row>
    <row r="156" spans="2:29" x14ac:dyDescent="0.2">
      <c r="B156" s="3">
        <v>154</v>
      </c>
      <c r="C156" s="6">
        <v>0.83999999999999497</v>
      </c>
      <c r="D156" s="6">
        <v>36.381818181818197</v>
      </c>
      <c r="E156" s="8">
        <v>-1.5707963267949001</v>
      </c>
      <c r="F156" s="7"/>
      <c r="G156" s="10">
        <v>9.4405792663375401</v>
      </c>
      <c r="H156" s="10">
        <v>44.365631721858897</v>
      </c>
      <c r="I156" s="10">
        <v>2.15300150419543</v>
      </c>
      <c r="K156" s="10">
        <v>9.8416113040325097</v>
      </c>
      <c r="L156" s="10">
        <v>44.740341282238802</v>
      </c>
      <c r="M156" s="10">
        <v>2.15300150419543</v>
      </c>
      <c r="N156" s="13"/>
      <c r="O156" s="10">
        <v>-14.404382349517499</v>
      </c>
      <c r="P156" s="10">
        <v>50.572966800337298</v>
      </c>
      <c r="Q156" s="10">
        <v>2.0468477814747401</v>
      </c>
      <c r="R156" s="13"/>
      <c r="S156" s="8">
        <v>-1.5707963267949001</v>
      </c>
      <c r="T156" s="13"/>
      <c r="U156" s="13">
        <f t="shared" si="18"/>
        <v>0</v>
      </c>
      <c r="V156" s="13">
        <f t="shared" si="26"/>
        <v>33.357899475716152</v>
      </c>
      <c r="W156" s="13">
        <f t="shared" si="24"/>
        <v>33.357899475716152</v>
      </c>
      <c r="X156" s="13">
        <f t="shared" si="25"/>
        <v>27.275739184218622</v>
      </c>
      <c r="Z156" t="str">
        <f t="shared" si="20"/>
        <v>0.839999999999995,36.3818181818182</v>
      </c>
      <c r="AA156" t="str">
        <f t="shared" si="21"/>
        <v>9.44057926633754,44.3656317218589</v>
      </c>
      <c r="AB156" t="str">
        <f t="shared" si="22"/>
        <v>9.84161130403251,44.7403412822388</v>
      </c>
      <c r="AC156" t="str">
        <f t="shared" si="23"/>
        <v>-14.4043823495175,50.5729668003373</v>
      </c>
    </row>
    <row r="157" spans="2:29" x14ac:dyDescent="0.2">
      <c r="B157" s="3">
        <v>155</v>
      </c>
      <c r="C157" s="6">
        <v>0.83999999999999497</v>
      </c>
      <c r="D157" s="6">
        <v>34.472727272727298</v>
      </c>
      <c r="E157" s="8">
        <v>-1.5707963267949001</v>
      </c>
      <c r="F157" s="7"/>
      <c r="G157" s="10">
        <v>8.3908328864645796</v>
      </c>
      <c r="H157" s="10">
        <v>42.771059479181503</v>
      </c>
      <c r="I157" s="10">
        <v>1.3805393375555901</v>
      </c>
      <c r="K157" s="10">
        <v>8.7918649241595492</v>
      </c>
      <c r="L157" s="10">
        <v>43.1457690395615</v>
      </c>
      <c r="M157" s="10">
        <v>1.3805393375555901</v>
      </c>
      <c r="N157" s="13"/>
      <c r="O157" s="10">
        <v>-15.279267635796399</v>
      </c>
      <c r="P157" s="10">
        <v>48.876145114058502</v>
      </c>
      <c r="Q157" s="10">
        <v>1.2959248536947101</v>
      </c>
      <c r="R157" s="13"/>
      <c r="S157" s="8">
        <v>-1.5707963267949001</v>
      </c>
      <c r="T157" s="13"/>
      <c r="U157" s="13">
        <f t="shared" si="18"/>
        <v>0</v>
      </c>
      <c r="V157" s="13">
        <f t="shared" si="26"/>
        <v>-10.900922506277965</v>
      </c>
      <c r="W157" s="13">
        <f t="shared" si="24"/>
        <v>-10.900922506277965</v>
      </c>
      <c r="X157" s="13">
        <f t="shared" si="25"/>
        <v>-15.748975317184232</v>
      </c>
      <c r="Z157" t="str">
        <f t="shared" si="20"/>
        <v>0.839999999999995,34.4727272727273</v>
      </c>
      <c r="AA157" t="str">
        <f t="shared" si="21"/>
        <v>8.39083288646458,42.7710594791815</v>
      </c>
      <c r="AB157" t="str">
        <f t="shared" si="22"/>
        <v>8.79186492415955,43.1457690395615</v>
      </c>
      <c r="AC157" t="str">
        <f t="shared" si="23"/>
        <v>-15.2792676357964,48.8761451140585</v>
      </c>
    </row>
    <row r="158" spans="2:29" x14ac:dyDescent="0.2">
      <c r="B158" s="3">
        <v>156</v>
      </c>
      <c r="C158" s="6">
        <v>0.83999999999999497</v>
      </c>
      <c r="D158" s="6">
        <v>32.563636363636398</v>
      </c>
      <c r="E158" s="8">
        <v>-1.5707963267949001</v>
      </c>
      <c r="F158" s="7"/>
      <c r="G158" s="10">
        <v>8.7518634608674599</v>
      </c>
      <c r="H158" s="10">
        <v>40.896416840298002</v>
      </c>
      <c r="I158" s="10">
        <v>2.1388272287598</v>
      </c>
      <c r="K158" s="10">
        <v>9.1528954985624207</v>
      </c>
      <c r="L158" s="10">
        <v>41.271126400678</v>
      </c>
      <c r="M158" s="10">
        <v>2.1388272287598</v>
      </c>
      <c r="N158" s="13"/>
      <c r="O158" s="10">
        <v>-14.761096001167401</v>
      </c>
      <c r="P158" s="10">
        <v>47.038721304416399</v>
      </c>
      <c r="Q158" s="10">
        <v>2.0475228284299298</v>
      </c>
      <c r="R158" s="13"/>
      <c r="S158" s="8">
        <v>-1.5707963267949001</v>
      </c>
      <c r="T158" s="13"/>
      <c r="U158" s="13">
        <f t="shared" si="18"/>
        <v>0</v>
      </c>
      <c r="V158" s="13">
        <f t="shared" si="26"/>
        <v>32.545773315598581</v>
      </c>
      <c r="W158" s="13">
        <f t="shared" si="24"/>
        <v>32.545773315598581</v>
      </c>
      <c r="X158" s="13">
        <f t="shared" si="25"/>
        <v>27.314416525724141</v>
      </c>
      <c r="Z158" t="str">
        <f t="shared" si="20"/>
        <v>0.839999999999995,32.5636363636364</v>
      </c>
      <c r="AA158" t="str">
        <f t="shared" si="21"/>
        <v>8.75186346086746,40.896416840298</v>
      </c>
      <c r="AB158" t="str">
        <f t="shared" si="22"/>
        <v>9.15289549856242,41.271126400678</v>
      </c>
      <c r="AC158" t="str">
        <f t="shared" si="23"/>
        <v>-14.7610960011674,47.0387213044164</v>
      </c>
    </row>
    <row r="159" spans="2:29" x14ac:dyDescent="0.2">
      <c r="B159" s="3">
        <v>157</v>
      </c>
      <c r="C159" s="6">
        <v>0.83999999999999397</v>
      </c>
      <c r="D159" s="6">
        <v>30.654545454545499</v>
      </c>
      <c r="E159" s="8">
        <v>-1.5707963267949001</v>
      </c>
      <c r="F159" s="7"/>
      <c r="G159" s="10">
        <v>7.7248236808978898</v>
      </c>
      <c r="H159" s="10">
        <v>39.287125881666398</v>
      </c>
      <c r="I159" s="10">
        <v>2.1388272287598</v>
      </c>
      <c r="K159" s="10">
        <v>8.1258557185928595</v>
      </c>
      <c r="L159" s="10">
        <v>39.661835442046403</v>
      </c>
      <c r="M159" s="10">
        <v>2.0982215207825998</v>
      </c>
      <c r="N159" s="13"/>
      <c r="O159" s="10">
        <v>-15.637126522334601</v>
      </c>
      <c r="P159" s="10">
        <v>45.342490593352302</v>
      </c>
      <c r="Q159" s="10">
        <v>2.0200729830455701</v>
      </c>
      <c r="R159" s="13"/>
      <c r="S159" s="8">
        <v>-1.5707963267949001</v>
      </c>
      <c r="T159" s="13"/>
      <c r="U159" s="13">
        <f t="shared" si="18"/>
        <v>0</v>
      </c>
      <c r="V159" s="13">
        <f t="shared" si="26"/>
        <v>32.545773315598581</v>
      </c>
      <c r="W159" s="13">
        <f t="shared" si="24"/>
        <v>30.219237624364325</v>
      </c>
      <c r="X159" s="13">
        <f t="shared" si="25"/>
        <v>25.741656236913684</v>
      </c>
      <c r="Z159" t="str">
        <f t="shared" si="20"/>
        <v>0.839999999999994,30.6545454545455</v>
      </c>
      <c r="AA159" t="str">
        <f t="shared" si="21"/>
        <v>7.72482368089789,39.2871258816664</v>
      </c>
      <c r="AB159" t="str">
        <f t="shared" si="22"/>
        <v>8.12585571859286,39.6618354420464</v>
      </c>
      <c r="AC159" t="str">
        <f t="shared" si="23"/>
        <v>-15.6371265223346,45.3424905933523</v>
      </c>
    </row>
    <row r="160" spans="2:29" x14ac:dyDescent="0.2">
      <c r="B160" s="3">
        <v>158</v>
      </c>
      <c r="C160" s="6">
        <v>0.83999999999999397</v>
      </c>
      <c r="D160" s="6">
        <v>28.745454545454599</v>
      </c>
      <c r="E160" s="8">
        <v>-1.5707963267949001</v>
      </c>
      <c r="F160" s="7"/>
      <c r="G160" s="10">
        <v>6.6977839009283304</v>
      </c>
      <c r="H160" s="10">
        <v>37.677834923034702</v>
      </c>
      <c r="I160" s="10">
        <v>1.9218716473128901</v>
      </c>
      <c r="K160" s="10">
        <v>7.1649909687140996</v>
      </c>
      <c r="L160" s="10">
        <v>38.0121788015257</v>
      </c>
      <c r="M160" s="10">
        <v>1.9218716473128901</v>
      </c>
      <c r="N160" s="13"/>
      <c r="O160" s="10">
        <v>-16.4662715986472</v>
      </c>
      <c r="P160" s="10">
        <v>43.622855009398499</v>
      </c>
      <c r="Q160" s="10">
        <v>1.8356110079955199</v>
      </c>
      <c r="R160" s="13"/>
      <c r="S160" s="8">
        <v>-1.5707963267949001</v>
      </c>
      <c r="T160" s="13"/>
      <c r="U160" s="13">
        <f t="shared" si="18"/>
        <v>0</v>
      </c>
      <c r="V160" s="13">
        <f t="shared" si="26"/>
        <v>20.115134156883869</v>
      </c>
      <c r="W160" s="13">
        <f t="shared" si="24"/>
        <v>20.115134156883869</v>
      </c>
      <c r="X160" s="13">
        <f t="shared" si="25"/>
        <v>15.172763585898309</v>
      </c>
      <c r="Z160" t="str">
        <f t="shared" si="20"/>
        <v>0.839999999999994,28.7454545454546</v>
      </c>
      <c r="AA160" t="str">
        <f t="shared" si="21"/>
        <v>6.69778390092833,37.6778349230347</v>
      </c>
      <c r="AB160" t="str">
        <f t="shared" si="22"/>
        <v>7.1649909687141,38.0121788015257</v>
      </c>
      <c r="AC160" t="str">
        <f t="shared" si="23"/>
        <v>-16.4662715986472,43.6228550093985</v>
      </c>
    </row>
    <row r="161" spans="2:29" x14ac:dyDescent="0.2">
      <c r="B161" s="3">
        <v>159</v>
      </c>
      <c r="C161" s="6">
        <v>0.83999999999999397</v>
      </c>
      <c r="D161" s="6">
        <v>26.8363636363636</v>
      </c>
      <c r="E161" s="8">
        <v>-1.5707963267949001</v>
      </c>
      <c r="F161" s="7"/>
      <c r="G161" s="10">
        <v>6.0412327690149201</v>
      </c>
      <c r="H161" s="10">
        <v>35.885191983027802</v>
      </c>
      <c r="I161" s="10">
        <v>1.78044428024419</v>
      </c>
      <c r="K161" s="10">
        <v>6.5084398368006999</v>
      </c>
      <c r="L161" s="10">
        <v>36.2195358615187</v>
      </c>
      <c r="M161" s="10">
        <v>1.78044428024419</v>
      </c>
      <c r="N161" s="13"/>
      <c r="O161" s="10">
        <v>-16.965938752398198</v>
      </c>
      <c r="P161" s="10">
        <v>41.780313060178401</v>
      </c>
      <c r="Q161" s="10">
        <v>1.8771200428800201</v>
      </c>
      <c r="R161" s="13"/>
      <c r="S161" s="8">
        <v>-1.5707963267949001</v>
      </c>
      <c r="T161" s="13"/>
      <c r="U161" s="13">
        <f t="shared" si="18"/>
        <v>0</v>
      </c>
      <c r="V161" s="13">
        <f t="shared" si="26"/>
        <v>12.011942916199843</v>
      </c>
      <c r="W161" s="13">
        <f t="shared" si="24"/>
        <v>12.011942916199843</v>
      </c>
      <c r="X161" s="13">
        <f t="shared" si="25"/>
        <v>17.551056096441471</v>
      </c>
      <c r="Z161" t="str">
        <f t="shared" si="20"/>
        <v>0.839999999999994,26.8363636363636</v>
      </c>
      <c r="AA161" t="str">
        <f t="shared" si="21"/>
        <v>6.04123276901492,35.8851919830278</v>
      </c>
      <c r="AB161" t="str">
        <f t="shared" si="22"/>
        <v>6.5084398368007,36.2195358615187</v>
      </c>
      <c r="AC161" t="str">
        <f t="shared" si="23"/>
        <v>-16.9659387523982,41.7803130601784</v>
      </c>
    </row>
    <row r="162" spans="2:29" x14ac:dyDescent="0.2">
      <c r="B162" s="3">
        <v>160</v>
      </c>
      <c r="C162" s="6">
        <v>0.83999999999999397</v>
      </c>
      <c r="D162" s="6">
        <v>24.927272727272701</v>
      </c>
      <c r="E162" s="8">
        <v>-1.5707963267949001</v>
      </c>
      <c r="F162" s="7"/>
      <c r="G162" s="10">
        <v>5.6439212176484901</v>
      </c>
      <c r="H162" s="10">
        <v>34.017902067046798</v>
      </c>
      <c r="I162" s="10">
        <v>2.0534606685494801</v>
      </c>
      <c r="K162" s="10">
        <v>6.1111282854342601</v>
      </c>
      <c r="L162" s="10">
        <v>34.352245945537703</v>
      </c>
      <c r="M162" s="10">
        <v>2.0534606685494801</v>
      </c>
      <c r="N162" s="13"/>
      <c r="O162" s="10">
        <v>-17.5416356815239</v>
      </c>
      <c r="P162" s="10">
        <v>39.960092978713298</v>
      </c>
      <c r="Q162" s="10">
        <v>1.9577499835732499</v>
      </c>
      <c r="R162" s="13"/>
      <c r="S162" s="8">
        <v>-1.5707963267949001</v>
      </c>
      <c r="T162" s="13"/>
      <c r="U162" s="13">
        <f t="shared" si="18"/>
        <v>0</v>
      </c>
      <c r="V162" s="13">
        <f t="shared" si="26"/>
        <v>27.654629703997841</v>
      </c>
      <c r="W162" s="13">
        <f t="shared" si="24"/>
        <v>27.654629703997841</v>
      </c>
      <c r="X162" s="13">
        <f t="shared" si="25"/>
        <v>22.170811400553703</v>
      </c>
      <c r="Z162" t="str">
        <f t="shared" si="20"/>
        <v>0.839999999999994,24.9272727272727</v>
      </c>
      <c r="AA162" t="str">
        <f t="shared" si="21"/>
        <v>5.64392121764849,34.0179020670468</v>
      </c>
      <c r="AB162" t="str">
        <f t="shared" si="22"/>
        <v>6.11112828543426,34.3522459455377</v>
      </c>
      <c r="AC162" t="str">
        <f t="shared" si="23"/>
        <v>-17.5416356815239,39.9600929787133</v>
      </c>
    </row>
    <row r="163" spans="2:29" x14ac:dyDescent="0.2">
      <c r="B163" s="3">
        <v>161</v>
      </c>
      <c r="C163" s="6">
        <v>0.83999999999999397</v>
      </c>
      <c r="D163" s="6">
        <v>23.018181818181802</v>
      </c>
      <c r="E163" s="8">
        <v>-1.5707963267949001</v>
      </c>
      <c r="F163" s="7"/>
      <c r="G163" s="10">
        <v>4.7578342523716897</v>
      </c>
      <c r="H163" s="10">
        <v>32.326902957307198</v>
      </c>
      <c r="I163" s="10">
        <v>2.0534606685494801</v>
      </c>
      <c r="K163" s="10">
        <v>5.2250413201574597</v>
      </c>
      <c r="L163" s="10">
        <v>32.661246835798103</v>
      </c>
      <c r="M163" s="10">
        <v>2.0220803888445702</v>
      </c>
      <c r="N163" s="13"/>
      <c r="O163" s="10">
        <v>-18.262067532742002</v>
      </c>
      <c r="P163" s="10">
        <v>38.1921546181011</v>
      </c>
      <c r="Q163" s="10">
        <v>1.91598559725715</v>
      </c>
      <c r="R163" s="13"/>
      <c r="S163" s="8">
        <v>-1.5707963267949001</v>
      </c>
      <c r="T163" s="13"/>
      <c r="U163" s="13">
        <f t="shared" si="18"/>
        <v>0</v>
      </c>
      <c r="V163" s="13">
        <f t="shared" si="26"/>
        <v>27.654629703997841</v>
      </c>
      <c r="W163" s="13">
        <f t="shared" si="24"/>
        <v>25.85667211696645</v>
      </c>
      <c r="X163" s="13">
        <f t="shared" si="25"/>
        <v>19.777888330687205</v>
      </c>
      <c r="Z163" t="str">
        <f t="shared" si="20"/>
        <v>0.839999999999994,23.0181818181818</v>
      </c>
      <c r="AA163" t="str">
        <f t="shared" si="21"/>
        <v>4.75783425237169,32.3269029573072</v>
      </c>
      <c r="AB163" t="str">
        <f t="shared" si="22"/>
        <v>5.22504132015746,32.6612468357981</v>
      </c>
      <c r="AC163" t="str">
        <f t="shared" si="23"/>
        <v>-18.262067532742,38.1921546181011</v>
      </c>
    </row>
    <row r="164" spans="2:29" x14ac:dyDescent="0.2">
      <c r="B164" s="3">
        <v>162</v>
      </c>
      <c r="C164" s="6">
        <v>0.83999999999999397</v>
      </c>
      <c r="D164" s="6">
        <v>21.109090909090899</v>
      </c>
      <c r="E164" s="8">
        <v>-1.5707963267949001</v>
      </c>
      <c r="F164" s="7"/>
      <c r="G164" s="10">
        <v>3.8717472870948901</v>
      </c>
      <c r="H164" s="10">
        <v>30.635903847567601</v>
      </c>
      <c r="I164" s="10">
        <v>2.2127623883719201</v>
      </c>
      <c r="K164" s="10">
        <v>4.3924459103132598</v>
      </c>
      <c r="L164" s="10">
        <v>30.943279146148502</v>
      </c>
      <c r="M164" s="10">
        <v>2.2127623883719201</v>
      </c>
      <c r="N164" s="13"/>
      <c r="O164" s="10">
        <v>-18.908055766239698</v>
      </c>
      <c r="P164" s="10">
        <v>36.395678261074401</v>
      </c>
      <c r="Q164" s="10">
        <v>2.1216963167463598</v>
      </c>
      <c r="R164" s="13"/>
      <c r="S164" s="8">
        <v>-1.5707963267949001</v>
      </c>
      <c r="T164" s="13"/>
      <c r="U164" s="13">
        <f t="shared" si="18"/>
        <v>0</v>
      </c>
      <c r="V164" s="13">
        <f t="shared" si="26"/>
        <v>36.781945918999185</v>
      </c>
      <c r="W164" s="13">
        <f t="shared" si="24"/>
        <v>36.781945918999185</v>
      </c>
      <c r="X164" s="13">
        <f t="shared" si="25"/>
        <v>31.564244358018527</v>
      </c>
      <c r="Z164" t="str">
        <f t="shared" si="20"/>
        <v>0.839999999999994,21.1090909090909</v>
      </c>
      <c r="AA164" t="str">
        <f t="shared" si="21"/>
        <v>3.87174728709489,30.6359038475676</v>
      </c>
      <c r="AB164" t="str">
        <f t="shared" si="22"/>
        <v>4.39244591031326,30.9432791461485</v>
      </c>
      <c r="AC164" t="str">
        <f t="shared" si="23"/>
        <v>-18.9080557662397,36.3956782610744</v>
      </c>
    </row>
    <row r="165" spans="2:29" x14ac:dyDescent="0.2">
      <c r="B165" s="3">
        <v>163</v>
      </c>
      <c r="C165" s="6">
        <v>0.83999999999999397</v>
      </c>
      <c r="D165" s="6">
        <v>19.2</v>
      </c>
      <c r="E165" s="8">
        <v>-1.5707963267949001</v>
      </c>
      <c r="F165" s="7"/>
      <c r="G165" s="10">
        <v>2.72863852602516</v>
      </c>
      <c r="H165" s="10">
        <v>29.106874593583498</v>
      </c>
      <c r="I165" s="10">
        <v>2.08061060966459</v>
      </c>
      <c r="K165" s="10">
        <v>3.2493371492435301</v>
      </c>
      <c r="L165" s="10">
        <v>29.414249892164399</v>
      </c>
      <c r="M165" s="10">
        <v>2.08061060966459</v>
      </c>
      <c r="N165" s="13"/>
      <c r="O165" s="10">
        <v>-19.907377574747098</v>
      </c>
      <c r="P165" s="10">
        <v>34.769030166920302</v>
      </c>
      <c r="Q165" s="10">
        <v>1.9803908044274601</v>
      </c>
      <c r="R165" s="13"/>
      <c r="S165" s="8">
        <v>-1.5707963267949001</v>
      </c>
      <c r="T165" s="13"/>
      <c r="U165" s="13">
        <f t="shared" si="18"/>
        <v>0</v>
      </c>
      <c r="V165" s="13">
        <f t="shared" si="26"/>
        <v>29.210206743922356</v>
      </c>
      <c r="W165" s="13">
        <f t="shared" si="24"/>
        <v>29.210206743922356</v>
      </c>
      <c r="X165" s="13">
        <f t="shared" si="25"/>
        <v>23.468034880211718</v>
      </c>
      <c r="Z165" t="str">
        <f t="shared" si="20"/>
        <v>0.839999999999994,19.2</v>
      </c>
      <c r="AA165" t="str">
        <f t="shared" si="21"/>
        <v>2.72863852602516,29.1068745935835</v>
      </c>
      <c r="AB165" t="str">
        <f t="shared" si="22"/>
        <v>3.24933714924353,29.4142498921644</v>
      </c>
      <c r="AC165" t="str">
        <f t="shared" si="23"/>
        <v>-19.9073775747471,34.7690301669203</v>
      </c>
    </row>
    <row r="166" spans="2:29" x14ac:dyDescent="0.2">
      <c r="B166" s="3">
        <v>164</v>
      </c>
      <c r="C166" s="6">
        <v>0.83999999999999397</v>
      </c>
      <c r="D166" s="6">
        <v>17.2909090909091</v>
      </c>
      <c r="E166" s="8">
        <v>-1.5707963267949001</v>
      </c>
      <c r="F166" s="7"/>
      <c r="G166" s="10">
        <v>1.7969732303841801</v>
      </c>
      <c r="H166" s="10">
        <v>27.440552933137401</v>
      </c>
      <c r="I166" s="10">
        <v>2.08061060966459</v>
      </c>
      <c r="K166" s="10">
        <v>2.3176718536025498</v>
      </c>
      <c r="L166" s="10">
        <v>27.747928231718401</v>
      </c>
      <c r="M166" s="10">
        <v>2.0168636598232399</v>
      </c>
      <c r="N166" s="13"/>
      <c r="O166" s="10">
        <v>-20.667648940788201</v>
      </c>
      <c r="P166" s="10">
        <v>33.017854690518398</v>
      </c>
      <c r="Q166" s="10">
        <v>1.9325582049864101</v>
      </c>
      <c r="R166" s="13"/>
      <c r="S166" s="8">
        <v>-1.5707963267949001</v>
      </c>
      <c r="T166" s="13"/>
      <c r="U166" s="13">
        <f t="shared" si="18"/>
        <v>0</v>
      </c>
      <c r="V166" s="13">
        <f t="shared" si="26"/>
        <v>29.210206743922356</v>
      </c>
      <c r="W166" s="13">
        <f t="shared" si="24"/>
        <v>25.557775561180819</v>
      </c>
      <c r="X166" s="13">
        <f t="shared" si="25"/>
        <v>20.727428809099735</v>
      </c>
      <c r="Z166" t="str">
        <f t="shared" si="20"/>
        <v>0.839999999999994,17.2909090909091</v>
      </c>
      <c r="AA166" t="str">
        <f t="shared" si="21"/>
        <v>1.79697323038418,27.4405529331374</v>
      </c>
      <c r="AB166" t="str">
        <f t="shared" si="22"/>
        <v>2.31767185360255,27.7479282317184</v>
      </c>
      <c r="AC166" t="str">
        <f t="shared" si="23"/>
        <v>-20.6676489407882,33.0178546905184</v>
      </c>
    </row>
    <row r="167" spans="2:29" x14ac:dyDescent="0.2">
      <c r="B167" s="3">
        <v>165</v>
      </c>
      <c r="C167" s="6">
        <v>0.83999999999999397</v>
      </c>
      <c r="D167" s="6">
        <v>15.3818181818182</v>
      </c>
      <c r="E167" s="8">
        <v>-1.5707963267949001</v>
      </c>
      <c r="F167" s="7"/>
      <c r="G167" s="10">
        <v>0.8653079347432</v>
      </c>
      <c r="H167" s="10">
        <v>25.774231272691299</v>
      </c>
      <c r="I167" s="10">
        <v>2.0168636598232399</v>
      </c>
      <c r="K167" s="10">
        <v>1.49404990422186</v>
      </c>
      <c r="L167" s="10">
        <v>26.025640513689801</v>
      </c>
      <c r="M167" s="10">
        <v>2.0511008207361598</v>
      </c>
      <c r="N167" s="13"/>
      <c r="O167" s="10">
        <v>-21.343319400698601</v>
      </c>
      <c r="P167" s="10">
        <v>31.2323302496949</v>
      </c>
      <c r="Q167" s="10">
        <v>1.9386635944260999</v>
      </c>
      <c r="R167" s="13"/>
      <c r="S167" s="8">
        <v>-1.5707963267949001</v>
      </c>
      <c r="T167" s="13"/>
      <c r="U167" s="13">
        <f t="shared" si="18"/>
        <v>0</v>
      </c>
      <c r="V167" s="13">
        <f t="shared" si="26"/>
        <v>25.557775561180819</v>
      </c>
      <c r="W167" s="13">
        <f t="shared" si="24"/>
        <v>27.519420384001421</v>
      </c>
      <c r="X167" s="13">
        <f t="shared" si="25"/>
        <v>21.077241856277681</v>
      </c>
      <c r="Z167" t="str">
        <f t="shared" si="20"/>
        <v>0.839999999999994,15.3818181818182</v>
      </c>
      <c r="AA167" t="str">
        <f t="shared" si="21"/>
        <v>0.8653079347432,25.7742312726913</v>
      </c>
      <c r="AB167" t="str">
        <f t="shared" si="22"/>
        <v>1.49404990422186,26.0256405136898</v>
      </c>
      <c r="AC167" t="str">
        <f t="shared" si="23"/>
        <v>-21.3433194006986,31.2323302496949</v>
      </c>
    </row>
    <row r="168" spans="2:29" x14ac:dyDescent="0.2">
      <c r="B168" s="3">
        <v>166</v>
      </c>
      <c r="C168" s="6">
        <v>0.83999999999999297</v>
      </c>
      <c r="D168" s="6">
        <v>13.472727272727299</v>
      </c>
      <c r="E168" s="8">
        <v>-1.5707963267949001</v>
      </c>
      <c r="F168" s="7"/>
      <c r="G168" s="10">
        <v>4.1685985362516997E-2</v>
      </c>
      <c r="H168" s="10">
        <v>24.051943554662799</v>
      </c>
      <c r="I168" s="10">
        <v>1.94092627418668</v>
      </c>
      <c r="K168" s="10">
        <v>0.61195590304835201</v>
      </c>
      <c r="L168" s="10">
        <v>24.3325550839884</v>
      </c>
      <c r="M168" s="10">
        <v>1.94092627418668</v>
      </c>
      <c r="N168" s="13"/>
      <c r="O168" s="10">
        <v>-22.029878521915901</v>
      </c>
      <c r="P168" s="10">
        <v>29.450964292838499</v>
      </c>
      <c r="Q168" s="10">
        <v>1.81105416601705</v>
      </c>
      <c r="R168" s="13"/>
      <c r="S168" s="8">
        <v>-1.5707963267949001</v>
      </c>
      <c r="T168" s="13"/>
      <c r="U168" s="13">
        <f t="shared" si="18"/>
        <v>0</v>
      </c>
      <c r="V168" s="13">
        <f t="shared" si="26"/>
        <v>21.206883856948593</v>
      </c>
      <c r="W168" s="13">
        <f t="shared" si="24"/>
        <v>21.206883856948593</v>
      </c>
      <c r="X168" s="13">
        <f t="shared" si="25"/>
        <v>13.7657601823623</v>
      </c>
      <c r="Z168" t="str">
        <f t="shared" si="20"/>
        <v>0.839999999999993,13.4727272727273</v>
      </c>
      <c r="AA168" t="str">
        <f t="shared" si="21"/>
        <v>0.041685985362517,24.0519435546628</v>
      </c>
      <c r="AB168" t="str">
        <f t="shared" si="22"/>
        <v>0.611955903048352,24.3325550839884</v>
      </c>
      <c r="AC168" t="str">
        <f t="shared" si="23"/>
        <v>-22.0298785219159,29.4509642928385</v>
      </c>
    </row>
    <row r="169" spans="2:29" x14ac:dyDescent="0.2">
      <c r="B169" s="3">
        <v>167</v>
      </c>
      <c r="C169" s="6">
        <v>0.83999999999999297</v>
      </c>
      <c r="D169" s="6">
        <v>11.5636363636364</v>
      </c>
      <c r="E169" s="8">
        <v>-1.5707963267949001</v>
      </c>
      <c r="F169" s="7"/>
      <c r="G169" s="10">
        <v>-0.64890203561785498</v>
      </c>
      <c r="H169" s="10">
        <v>22.272135619954099</v>
      </c>
      <c r="I169" s="10">
        <v>1.94092627418668</v>
      </c>
      <c r="K169" s="10">
        <v>-7.8632117932020004E-2</v>
      </c>
      <c r="L169" s="10">
        <v>22.5527471492797</v>
      </c>
      <c r="M169" s="10">
        <v>1.9855752230917001</v>
      </c>
      <c r="N169" s="13"/>
      <c r="O169" s="10">
        <v>-22.484152559967601</v>
      </c>
      <c r="P169" s="10">
        <v>27.596708863420599</v>
      </c>
      <c r="Q169" s="10">
        <v>1.8711005868217301</v>
      </c>
      <c r="R169" s="13"/>
      <c r="S169" s="8">
        <v>-1.5707963267949001</v>
      </c>
      <c r="T169" s="13"/>
      <c r="U169" s="13">
        <f t="shared" si="18"/>
        <v>0</v>
      </c>
      <c r="V169" s="13">
        <f t="shared" si="26"/>
        <v>21.206883856948593</v>
      </c>
      <c r="W169" s="13">
        <f t="shared" si="24"/>
        <v>23.765080188901493</v>
      </c>
      <c r="X169" s="13">
        <f t="shared" si="25"/>
        <v>17.206166669337023</v>
      </c>
      <c r="Z169" t="str">
        <f t="shared" si="20"/>
        <v>0.839999999999993,11.5636363636364</v>
      </c>
      <c r="AA169" t="str">
        <f t="shared" si="21"/>
        <v>-0.648902035617855,22.2721356199541</v>
      </c>
      <c r="AB169" t="str">
        <f t="shared" si="22"/>
        <v>-0.07863211793202,22.5527471492797</v>
      </c>
      <c r="AC169" t="str">
        <f t="shared" si="23"/>
        <v>-22.4841525599676,27.5967088634206</v>
      </c>
    </row>
    <row r="170" spans="2:29" x14ac:dyDescent="0.2">
      <c r="B170" s="3">
        <v>168</v>
      </c>
      <c r="C170" s="6">
        <v>0.83999999999999297</v>
      </c>
      <c r="D170" s="6">
        <v>9.6545454545454596</v>
      </c>
      <c r="E170" s="8">
        <v>-1.5707963267949001</v>
      </c>
      <c r="F170" s="7"/>
      <c r="G170" s="10">
        <v>-1.33949005659823</v>
      </c>
      <c r="H170" s="10">
        <v>20.492327685245399</v>
      </c>
      <c r="I170" s="10">
        <v>1.9855752230917001</v>
      </c>
      <c r="K170" s="10">
        <v>-0.84797205278809795</v>
      </c>
      <c r="L170" s="10">
        <v>20.805536754447701</v>
      </c>
      <c r="M170" s="10">
        <v>1.9161111020686801</v>
      </c>
      <c r="N170" s="13"/>
      <c r="O170" s="10">
        <v>-23.048882390636798</v>
      </c>
      <c r="P170" s="10">
        <v>25.773056397207299</v>
      </c>
      <c r="Q170" s="10">
        <v>1.82971350420572</v>
      </c>
      <c r="R170" s="13"/>
      <c r="S170" s="8">
        <v>-1.5707963267949001</v>
      </c>
      <c r="T170" s="13"/>
      <c r="U170" s="13">
        <f t="shared" si="18"/>
        <v>0</v>
      </c>
      <c r="V170" s="13">
        <f t="shared" si="26"/>
        <v>23.765080188901493</v>
      </c>
      <c r="W170" s="13">
        <f t="shared" si="24"/>
        <v>19.785079226696496</v>
      </c>
      <c r="X170" s="13">
        <f t="shared" si="25"/>
        <v>14.834861509080326</v>
      </c>
      <c r="Z170" t="str">
        <f t="shared" si="20"/>
        <v>0.839999999999993,9.65454545454546</v>
      </c>
      <c r="AA170" t="str">
        <f t="shared" si="21"/>
        <v>-1.33949005659823,20.4923276852454</v>
      </c>
      <c r="AB170" t="str">
        <f t="shared" si="22"/>
        <v>-0.847972052788098,20.8055367544477</v>
      </c>
      <c r="AC170" t="str">
        <f t="shared" si="23"/>
        <v>-23.0488823906368,25.7730563972073</v>
      </c>
    </row>
    <row r="171" spans="2:29" x14ac:dyDescent="0.2">
      <c r="B171" s="3">
        <v>169</v>
      </c>
      <c r="C171" s="6">
        <v>0.83999999999999297</v>
      </c>
      <c r="D171" s="6">
        <v>7.7454545454545496</v>
      </c>
      <c r="E171" s="8">
        <v>-1.5707963267949001</v>
      </c>
      <c r="F171" s="7"/>
      <c r="G171" s="10">
        <v>-2.1088299914543098</v>
      </c>
      <c r="H171" s="10">
        <v>18.7451172904134</v>
      </c>
      <c r="I171" s="10">
        <v>2.0244024606254398</v>
      </c>
      <c r="K171" s="10">
        <v>-1.49418574762421</v>
      </c>
      <c r="L171" s="10">
        <v>19.0091414862008</v>
      </c>
      <c r="M171" s="10">
        <v>2.0244024606254398</v>
      </c>
      <c r="N171" s="13"/>
      <c r="O171" s="10">
        <v>-23.537674519925002</v>
      </c>
      <c r="P171" s="10">
        <v>23.9275997183553</v>
      </c>
      <c r="Q171" s="10">
        <v>1.9297867795878101</v>
      </c>
      <c r="R171" s="13"/>
      <c r="S171" s="8">
        <v>-1.5707963267949001</v>
      </c>
      <c r="T171" s="13"/>
      <c r="U171" s="13">
        <f t="shared" si="18"/>
        <v>0</v>
      </c>
      <c r="V171" s="13">
        <f t="shared" si="26"/>
        <v>25.989717029736738</v>
      </c>
      <c r="W171" s="13">
        <f t="shared" si="24"/>
        <v>25.989717029736738</v>
      </c>
      <c r="X171" s="13">
        <f t="shared" si="25"/>
        <v>20.568637830524608</v>
      </c>
      <c r="Z171" t="str">
        <f t="shared" si="20"/>
        <v>0.839999999999993,7.74545454545455</v>
      </c>
      <c r="AA171" t="str">
        <f t="shared" si="21"/>
        <v>-2.10882999145431,18.7451172904134</v>
      </c>
      <c r="AB171" t="str">
        <f t="shared" si="22"/>
        <v>-1.49418574762421,19.0091414862008</v>
      </c>
      <c r="AC171" t="str">
        <f t="shared" si="23"/>
        <v>-23.537674519925,23.9275997183553</v>
      </c>
    </row>
    <row r="172" spans="2:29" x14ac:dyDescent="0.2">
      <c r="B172" s="3">
        <v>170</v>
      </c>
      <c r="C172" s="6">
        <v>0.83999999999999297</v>
      </c>
      <c r="D172" s="6">
        <v>5.8363636363636404</v>
      </c>
      <c r="E172" s="8">
        <v>-1.5707963267949001</v>
      </c>
      <c r="F172" s="7"/>
      <c r="G172" s="10">
        <v>-2.9454123973226398</v>
      </c>
      <c r="H172" s="10">
        <v>17.0290875769862</v>
      </c>
      <c r="I172" s="10">
        <v>2.1290183315273898</v>
      </c>
      <c r="K172" s="10">
        <v>-2.3307681534925502</v>
      </c>
      <c r="L172" s="10">
        <v>17.293111772773599</v>
      </c>
      <c r="M172" s="10">
        <v>2.1290183315273898</v>
      </c>
      <c r="N172" s="13"/>
      <c r="O172" s="10">
        <v>-24.208393943542202</v>
      </c>
      <c r="P172" s="10">
        <v>22.140209566777798</v>
      </c>
      <c r="Q172" s="10">
        <v>2.02320324290472</v>
      </c>
      <c r="R172" s="13"/>
      <c r="S172" s="8">
        <v>-1.5707963267949001</v>
      </c>
      <c r="T172" s="13"/>
      <c r="U172" s="13">
        <f t="shared" si="18"/>
        <v>0</v>
      </c>
      <c r="V172" s="13">
        <f t="shared" si="26"/>
        <v>31.983764902503935</v>
      </c>
      <c r="W172" s="13">
        <f t="shared" si="24"/>
        <v>31.983764902503935</v>
      </c>
      <c r="X172" s="13">
        <f t="shared" si="25"/>
        <v>25.921006915622172</v>
      </c>
      <c r="Z172" t="str">
        <f t="shared" si="20"/>
        <v>0.839999999999993,5.83636363636364</v>
      </c>
      <c r="AA172" t="str">
        <f t="shared" si="21"/>
        <v>-2.94541239732264,17.0290875769862</v>
      </c>
      <c r="AB172" t="str">
        <f t="shared" si="22"/>
        <v>-2.33076815349255,17.2931117727736</v>
      </c>
      <c r="AC172" t="str">
        <f t="shared" si="23"/>
        <v>-24.2083939435422,22.1402095667778</v>
      </c>
    </row>
    <row r="173" spans="2:29" x14ac:dyDescent="0.2">
      <c r="B173" s="3">
        <v>171</v>
      </c>
      <c r="C173" s="6">
        <v>0.83999999999999297</v>
      </c>
      <c r="D173" s="6">
        <v>3.9272727272727299</v>
      </c>
      <c r="E173" s="8">
        <v>-1.5707963267949001</v>
      </c>
      <c r="F173" s="7"/>
      <c r="G173" s="10">
        <v>-3.9566176531455799</v>
      </c>
      <c r="H173" s="10">
        <v>15.409800070157999</v>
      </c>
      <c r="I173" s="10">
        <v>2.1290183315273898</v>
      </c>
      <c r="K173" s="10">
        <v>-3.3419734093154898</v>
      </c>
      <c r="L173" s="10">
        <v>15.673824265945401</v>
      </c>
      <c r="M173" s="10">
        <v>2.2236412917633199</v>
      </c>
      <c r="N173" s="13"/>
      <c r="O173" s="10">
        <v>-25.042917855108001</v>
      </c>
      <c r="P173" s="10">
        <v>20.423177843076001</v>
      </c>
      <c r="Q173" s="10">
        <v>2.14883407732703</v>
      </c>
      <c r="R173" s="13"/>
      <c r="S173" s="8">
        <v>-1.5707963267949001</v>
      </c>
      <c r="T173" s="13"/>
      <c r="U173" s="13">
        <f t="shared" si="18"/>
        <v>0</v>
      </c>
      <c r="V173" s="13">
        <f t="shared" si="26"/>
        <v>31.983764902503935</v>
      </c>
      <c r="W173" s="13">
        <f t="shared" si="24"/>
        <v>37.405261169056956</v>
      </c>
      <c r="X173" s="13">
        <f t="shared" si="25"/>
        <v>33.119123504727412</v>
      </c>
      <c r="Z173" t="str">
        <f t="shared" si="20"/>
        <v>0.839999999999993,3.92727272727273</v>
      </c>
      <c r="AA173" t="str">
        <f t="shared" si="21"/>
        <v>-3.95661765314558,15.409800070158</v>
      </c>
      <c r="AB173" t="str">
        <f t="shared" si="22"/>
        <v>-3.34197340931549,15.6738242659454</v>
      </c>
      <c r="AC173" t="str">
        <f t="shared" si="23"/>
        <v>-25.042917855108,20.423177843076</v>
      </c>
    </row>
    <row r="174" spans="2:29" x14ac:dyDescent="0.2">
      <c r="B174" s="3">
        <v>172</v>
      </c>
      <c r="C174" s="6">
        <v>0.83999999999999297</v>
      </c>
      <c r="D174" s="6">
        <v>2.0181818181818199</v>
      </c>
      <c r="E174" s="8">
        <v>-1.5707963267949001</v>
      </c>
      <c r="F174" s="7"/>
      <c r="G174" s="10">
        <v>-4.96782290896852</v>
      </c>
      <c r="H174" s="10">
        <v>13.7905125633299</v>
      </c>
      <c r="I174" s="10">
        <v>2.2236412917633199</v>
      </c>
      <c r="K174" s="10">
        <v>-4.5016483607116697</v>
      </c>
      <c r="L174" s="10">
        <v>14.157321016269499</v>
      </c>
      <c r="M174" s="10">
        <v>2.1523951965943202</v>
      </c>
      <c r="N174" s="13"/>
      <c r="O174" s="10">
        <v>-26.086009875314499</v>
      </c>
      <c r="P174" s="10">
        <v>18.824244718597299</v>
      </c>
      <c r="Q174" s="10">
        <v>2.0771682805845</v>
      </c>
      <c r="R174" s="13"/>
      <c r="S174" s="8">
        <v>-1.5707963267949001</v>
      </c>
      <c r="T174" s="13"/>
      <c r="U174" s="13">
        <f t="shared" si="18"/>
        <v>0</v>
      </c>
      <c r="V174" s="13">
        <f t="shared" si="26"/>
        <v>37.405261169056956</v>
      </c>
      <c r="W174" s="13">
        <f t="shared" si="24"/>
        <v>33.323160609085846</v>
      </c>
      <c r="X174" s="13">
        <f t="shared" si="25"/>
        <v>29.012975815938034</v>
      </c>
      <c r="Z174" t="str">
        <f t="shared" si="20"/>
        <v>0.839999999999993,2.01818181818182</v>
      </c>
      <c r="AA174" t="str">
        <f t="shared" si="21"/>
        <v>-4.96782290896852,13.7905125633299</v>
      </c>
      <c r="AB174" t="str">
        <f t="shared" si="22"/>
        <v>-4.50164836071167,14.1573210162695</v>
      </c>
      <c r="AC174" t="str">
        <f t="shared" si="23"/>
        <v>-26.0860098753145,18.8242447185973</v>
      </c>
    </row>
    <row r="175" spans="2:29" x14ac:dyDescent="0.2">
      <c r="B175" s="3">
        <v>173</v>
      </c>
      <c r="C175" s="6">
        <v>0.83999999999999297</v>
      </c>
      <c r="D175" s="6">
        <v>0.10909090909091</v>
      </c>
      <c r="E175" s="8">
        <v>-1.5707963267949001</v>
      </c>
      <c r="F175" s="7"/>
      <c r="G175" s="10">
        <v>-6.1274978603647101</v>
      </c>
      <c r="H175" s="10">
        <v>12.274009313653901</v>
      </c>
      <c r="I175" s="10">
        <v>2.1523951965943202</v>
      </c>
      <c r="K175" s="10">
        <v>-5.5504277464245604</v>
      </c>
      <c r="L175" s="10">
        <v>12.5621125975112</v>
      </c>
      <c r="M175" s="10">
        <v>2.11719569214624</v>
      </c>
      <c r="N175" s="13"/>
      <c r="O175" s="10">
        <v>-27.011933634836399</v>
      </c>
      <c r="P175" s="10">
        <v>17.154725838582301</v>
      </c>
      <c r="Q175" s="10">
        <v>2.0125941232181401</v>
      </c>
      <c r="R175" s="13"/>
      <c r="S175" s="8">
        <v>-1.5707963267949001</v>
      </c>
      <c r="T175" s="13"/>
      <c r="U175" s="13">
        <f t="shared" si="18"/>
        <v>0</v>
      </c>
      <c r="V175" s="13">
        <f t="shared" si="26"/>
        <v>33.323160609085846</v>
      </c>
      <c r="W175" s="13">
        <f t="shared" si="24"/>
        <v>31.306377563258877</v>
      </c>
      <c r="X175" s="13">
        <f t="shared" si="25"/>
        <v>25.313149133232002</v>
      </c>
      <c r="Z175" t="str">
        <f t="shared" si="20"/>
        <v>0.839999999999993,0.10909090909091</v>
      </c>
      <c r="AA175" t="str">
        <f t="shared" si="21"/>
        <v>-6.12749786036471,12.2740093136539</v>
      </c>
      <c r="AB175" t="str">
        <f t="shared" si="22"/>
        <v>-5.55042774642456,12.5621125975112</v>
      </c>
      <c r="AC175" t="str">
        <f t="shared" si="23"/>
        <v>-27.0119336348364,17.1547258385823</v>
      </c>
    </row>
  </sheetData>
  <mergeCells count="2">
    <mergeCell ref="B1:E1"/>
    <mergeCell ref="G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矩形-手持</vt:lpstr>
      <vt:lpstr>矩形-打电话</vt:lpstr>
      <vt:lpstr>矩形-口袋</vt:lpstr>
      <vt:lpstr>矩形-摆臂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ye</dc:creator>
  <cp:lastModifiedBy>jin ye</cp:lastModifiedBy>
  <dcterms:created xsi:type="dcterms:W3CDTF">2015-06-05T18:19:34Z</dcterms:created>
  <dcterms:modified xsi:type="dcterms:W3CDTF">2021-03-07T11:21:23Z</dcterms:modified>
</cp:coreProperties>
</file>